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B" sheetId="1" r:id="rId5"/>
    <sheet state="visible" name="LM" sheetId="2" r:id="rId6"/>
    <sheet state="visible" name="LO" sheetId="3" r:id="rId7"/>
    <sheet state="visible" name="LE" sheetId="4" r:id="rId8"/>
    <sheet state="visible" name="LN" sheetId="5" r:id="rId9"/>
    <sheet state="visible" name="LCE" sheetId="6" r:id="rId10"/>
    <sheet state="visible" name="LI" sheetId="7" r:id="rId11"/>
    <sheet state="visible" name="LAP" sheetId="8" r:id="rId12"/>
    <sheet state="visible" name="LGDM" sheetId="9" r:id="rId13"/>
    <sheet state="visible" name="LAM" sheetId="10" r:id="rId14"/>
    <sheet state="visible" name="DEP" sheetId="11" r:id="rId15"/>
    <sheet state="visible" name="Asignación-Profesor" sheetId="12" r:id="rId16"/>
    <sheet state="hidden" name="GRUPOS UNSIS" sheetId="13" r:id="rId17"/>
    <sheet state="visible" name="usuario-profesor" sheetId="14" r:id="rId18"/>
    <sheet state="hidden" name="AsigTotalPTC" sheetId="15" r:id="rId19"/>
    <sheet state="hidden" name="Comisiones" sheetId="16" r:id="rId20"/>
    <sheet state="hidden" name="MATERIAS" sheetId="17" r:id="rId21"/>
    <sheet state="hidden" name="Total-Grupos" sheetId="18" r:id="rId22"/>
  </sheets>
  <definedNames>
    <definedName localSheetId="1" name="ComisiónV">Comisiones!$A$34:$A$38</definedName>
    <definedName localSheetId="0" name="ComisiónAs">AsigTotalPTC!$A$14:$A$31</definedName>
    <definedName localSheetId="11" name="ComisiónAs">Comisiones!$A$14:$A$31</definedName>
    <definedName name="ComisiónV">Comisiones!$A$34:$A$38</definedName>
    <definedName name="ComisiónUNSIS">Comisiones!$A$4:$A$11</definedName>
    <definedName localSheetId="11" name="ComisiónV">Comisiones!$A$34:$A$38</definedName>
    <definedName name="ComisiónViceRectoríaAcadémica">Comisiones!$A$36:$A$38</definedName>
    <definedName name="ComisiónAsignaciónConsejoAcadémico">Comisiones!$A$16:$A$29</definedName>
    <definedName name="ComisiónAc">Comisiones!$A$62:$A$68</definedName>
    <definedName name="Coordinación_del_Curso_de_Computación_para_Niños_de_Educación_Básica">Comisiones!$A$59</definedName>
    <definedName name="ComisiónACA">Comisiones!$A$16:$A$29</definedName>
    <definedName localSheetId="1" name="ComisiónAs">Comisiones!$A$14:$A$31</definedName>
    <definedName localSheetId="11" name="ComisiónU">Comisiones!$A$2:$A$11</definedName>
    <definedName name="ApoyoActividades">Comisiones!$A$64:$A$67</definedName>
    <definedName name="ComisiónVRA">Comisiones!$A$36:$A$38</definedName>
    <definedName name="ComisiónD">Comisiones!$A$51:$A$54</definedName>
    <definedName name="ComisiónU">Comisiones!$A$2:$A$11</definedName>
    <definedName localSheetId="11" name="ComisiónAc">Comisiones!$A$62:$A$68</definedName>
    <definedName name="ComisiónJefaturaCarreraDEP">Comisiones!$A$43:$A$45</definedName>
    <definedName localSheetId="0" name="ComisiónD">AsigTotalPTC!$A$51:$A$54</definedName>
    <definedName localSheetId="1" name="ComisiónP">Comisiones!$A$57:$A$59</definedName>
    <definedName name="ComisióndeViceRectoríaAcadémica">Comisiones!$A$36:$A$38</definedName>
    <definedName name="Comisión_de_Personal_Académico">Comisiones!$A$16:$A$29</definedName>
    <definedName localSheetId="0" name="ComisiónJ">AsigTotalPTC!$A$41:$A$48</definedName>
    <definedName localSheetId="1" name="ComisiónU">Comisiones!$A$2:$A$11</definedName>
    <definedName localSheetId="0" name="ComisiónP">AsigTotalPTC!$A$57:$A$59</definedName>
    <definedName localSheetId="11" name="ComisiónJ">Comisiones!$A$41:$A$48</definedName>
    <definedName localSheetId="0" name="ComisiónAc">AsigTotalPTC!$A$62:$A$68</definedName>
    <definedName localSheetId="1" name="ComisiónAc">Comisiones!$A$62:$A$68</definedName>
    <definedName name="ComisiónP">Comisiones!$A$57:$A$59</definedName>
    <definedName name="ComisiónDirecciónInstituto">Comisiones!$A$53:$A$54</definedName>
    <definedName localSheetId="11" name="ComisiónD">Comisiones!$A$51:$A$54</definedName>
    <definedName localSheetId="1" name="ComisiónD">Comisiones!$A$51:$A$54</definedName>
    <definedName localSheetId="0" name="ComisiónU">AsigTotalPTC!$A$2:$A$11</definedName>
    <definedName name="ComisiónAs">Comisiones!$A$14:$A$31</definedName>
    <definedName name="ComisiónJ">Comisiones!$A$41:$A$48</definedName>
    <definedName name="ComisiónoAsignacióndelConsejoAcadémico">Comisiones!$A$16:$A$29</definedName>
    <definedName localSheetId="0" name="ComisiónV">AsigTotalPTC!$A$34:$A$38</definedName>
    <definedName localSheetId="11" name="ComisiónP">Comisiones!$A$57:$A$59</definedName>
    <definedName localSheetId="1" name="ComisiónJ">Comisiones!$A$41:$A$48</definedName>
  </definedNames>
  <calcPr/>
</workbook>
</file>

<file path=xl/sharedStrings.xml><?xml version="1.0" encoding="utf-8"?>
<sst xmlns="http://schemas.openxmlformats.org/spreadsheetml/2006/main" count="4934" uniqueCount="1449">
  <si>
    <t>Dr. Juan Carlos Barragán Gálvez</t>
  </si>
  <si>
    <t>ASIGNACIÓN DE MATERIAS PARA EL SEMESTRE 26-27A</t>
  </si>
  <si>
    <t>Materia</t>
  </si>
  <si>
    <t>Profesor asignado</t>
  </si>
  <si>
    <t>PE-Adscripción</t>
  </si>
  <si>
    <t>Horas por semana</t>
  </si>
  <si>
    <t>Número de alumnos</t>
  </si>
  <si>
    <t>114-A (1)</t>
  </si>
  <si>
    <t>103-A PE 2024</t>
  </si>
  <si>
    <t>113-A</t>
  </si>
  <si>
    <t>116-A</t>
  </si>
  <si>
    <t>Anatomía Humana I</t>
  </si>
  <si>
    <t>Bases Epistemológicas de la Enfermería</t>
  </si>
  <si>
    <t>PTC3-LM</t>
  </si>
  <si>
    <t>M.E.A.T.E. Daniela Alonso Osorio</t>
  </si>
  <si>
    <t>LM</t>
  </si>
  <si>
    <t>LE</t>
  </si>
  <si>
    <t>Anatomía y Fisiología Humana</t>
  </si>
  <si>
    <t>Bioquímica para Enfermería</t>
  </si>
  <si>
    <t>E.M.F. Arturo José Moreno Juárez</t>
  </si>
  <si>
    <t>Histología I</t>
  </si>
  <si>
    <t>M.C.I.B. Ericay Berenice Martínez Ramos</t>
  </si>
  <si>
    <t>Dr. Alejandro Francisco Cruz</t>
  </si>
  <si>
    <t>LCB</t>
  </si>
  <si>
    <t>Química General</t>
  </si>
  <si>
    <t>Embriología Aplicada a la Odontología</t>
  </si>
  <si>
    <t>M.B.E. Raúl Misael Cortés Olivera</t>
  </si>
  <si>
    <t>Historia del Pensamiento Filosófico</t>
  </si>
  <si>
    <t>PTC8-LM</t>
  </si>
  <si>
    <t>Dra. Roxana Nayeli Guerrero Sotelo</t>
  </si>
  <si>
    <t>Bioquímica</t>
  </si>
  <si>
    <t xml:space="preserve">M.B.E. Ruth Monserrat Rodríguez Hernández </t>
  </si>
  <si>
    <t xml:space="preserve">Anatomía Humana </t>
  </si>
  <si>
    <t>L.E. Amalia Hernández Blas</t>
  </si>
  <si>
    <t>Bioquímica Aplicada a la Odontología</t>
  </si>
  <si>
    <t>M.B.E. Diego Sait Cruz Hernández</t>
  </si>
  <si>
    <t>Embriología</t>
  </si>
  <si>
    <t>Sociología y Salud</t>
  </si>
  <si>
    <t>Biología Celular</t>
  </si>
  <si>
    <t>M.C.E. Douglas Crittenden Nance</t>
  </si>
  <si>
    <t>M.F. Araceli Luz Alva Rodríguez Martínez</t>
  </si>
  <si>
    <t>LCE</t>
  </si>
  <si>
    <t>Matemáticas</t>
  </si>
  <si>
    <t>Materiales Dentales</t>
  </si>
  <si>
    <t>C.D. Luis Bernardo Martínez Martínez</t>
  </si>
  <si>
    <t>M.C. Mónica Pérez Meza</t>
  </si>
  <si>
    <t>LO</t>
  </si>
  <si>
    <t>103-B PE 2024</t>
  </si>
  <si>
    <t>LI</t>
  </si>
  <si>
    <t>Materia que requiere de prácticas en laboratorio</t>
  </si>
  <si>
    <t>114-B (2)</t>
  </si>
  <si>
    <t>L.E. Yarely Yaneth Zurita López</t>
  </si>
  <si>
    <t>Introducción a la Metodología de la Investigación</t>
  </si>
  <si>
    <t>Dra. Karla Esmeralda Tello Ortega</t>
  </si>
  <si>
    <t>113-B</t>
  </si>
  <si>
    <t>Dra. Maria Guadalupe Temores Alcántara</t>
  </si>
  <si>
    <t>DEP</t>
  </si>
  <si>
    <t>Mtro. Diego Toto Jiménez</t>
  </si>
  <si>
    <t>LAP</t>
  </si>
  <si>
    <t>M.C. Andrea Itayetzzi Ortiz García</t>
  </si>
  <si>
    <t>Dra. Deisy Coromoto Rebolledo López</t>
  </si>
  <si>
    <t>103-C PE 2024</t>
  </si>
  <si>
    <t>L.O. Yamile Yolotzin Vásquez Ríos</t>
  </si>
  <si>
    <t>116-B</t>
  </si>
  <si>
    <t>114-C (3)</t>
  </si>
  <si>
    <t>113-C</t>
  </si>
  <si>
    <t>E.E. Edgar García Casas</t>
  </si>
  <si>
    <t>PTC-LE1</t>
  </si>
  <si>
    <t>Dr. Edgar Rodrigo Guzmán Bautista</t>
  </si>
  <si>
    <t>PTC10-LM</t>
  </si>
  <si>
    <t>PTC-LE2</t>
  </si>
  <si>
    <t>Dr. Guadalupe Gabriel Durán Férman</t>
  </si>
  <si>
    <t>103-D PE 2024</t>
  </si>
  <si>
    <t>114-D (4)</t>
  </si>
  <si>
    <t>M.S.P. Maleni Rodríguez García</t>
  </si>
  <si>
    <t>Dr. Horacio González Pérez</t>
  </si>
  <si>
    <t>Dr. Amando Alejandro Ruiz Figueroa</t>
  </si>
  <si>
    <t>PTC13-LM</t>
  </si>
  <si>
    <t>Dr. Abisaí Martínez Sánchez</t>
  </si>
  <si>
    <t>M.T.C.A. Rolando Pedro Gabriel</t>
  </si>
  <si>
    <t>Lo cubrirá informatica</t>
  </si>
  <si>
    <t>Dra. Victoria Vera Pineda</t>
  </si>
  <si>
    <t>113-D</t>
  </si>
  <si>
    <t>PTC7-LM</t>
  </si>
  <si>
    <t>M.A.P. Diego Toto Jiménez</t>
  </si>
  <si>
    <t>103-E PE 2024</t>
  </si>
  <si>
    <t>314-A</t>
  </si>
  <si>
    <t>M.E.S. Adriana Zúñiga Jiménez</t>
  </si>
  <si>
    <t>Fisiología I</t>
  </si>
  <si>
    <t>PTC11-LM</t>
  </si>
  <si>
    <t>M.I.T.I. Oswaldo Rey Ávila Barrón</t>
  </si>
  <si>
    <t>Bacteriología y Micología Médica</t>
  </si>
  <si>
    <t>M.A.I.S. Amelia Roselia Juárez Agudo</t>
  </si>
  <si>
    <t>316-A</t>
  </si>
  <si>
    <t>M.C.C.A.R.B. Guilibaldo Gabriel Zurita Vásquez</t>
  </si>
  <si>
    <t>Inmunología</t>
  </si>
  <si>
    <t>E.P.C. Yuniza Jocabeth Hernández Morales</t>
  </si>
  <si>
    <t>Dr. Gerardo Roberto Aragón Gonzalez</t>
  </si>
  <si>
    <t>113-E</t>
  </si>
  <si>
    <t>Psicología Médica</t>
  </si>
  <si>
    <t>Bioquímica Metabólica</t>
  </si>
  <si>
    <t>Dra. Claudia Chávez López</t>
  </si>
  <si>
    <t>103-F PE 2024</t>
  </si>
  <si>
    <t>Méd. Jennifer de la Luz Santos Santos</t>
  </si>
  <si>
    <t>Historia y Antropología Médica</t>
  </si>
  <si>
    <t>Méd. Guadalupe Ithalivi Olivera Domínguez</t>
  </si>
  <si>
    <t>Anatomía</t>
  </si>
  <si>
    <t>Dra. Melisa Karina Chacón Lázaro</t>
  </si>
  <si>
    <t>Dr. Joselito Fernández Tapia</t>
  </si>
  <si>
    <t>Dra. Reyna Minerva Hernández Vásquez</t>
  </si>
  <si>
    <t>314-B</t>
  </si>
  <si>
    <t>Histología</t>
  </si>
  <si>
    <t>L.O. César Yazid Martínez Martínez</t>
  </si>
  <si>
    <t>Bioseguridad</t>
  </si>
  <si>
    <t>113-F</t>
  </si>
  <si>
    <t>103-G PE 2024</t>
  </si>
  <si>
    <t>TIC Aplicadas a las Ciencias Biomédicas</t>
  </si>
  <si>
    <t>Dra. Aidee Cruz Barragán</t>
  </si>
  <si>
    <t>M.S.P. Pablo Cataneo Pérez</t>
  </si>
  <si>
    <t>314-C</t>
  </si>
  <si>
    <t>Dr. Mauricio Sosa Montes</t>
  </si>
  <si>
    <t>L.O. Joel Abisai Hernández López</t>
  </si>
  <si>
    <t>103-H PE 2024</t>
  </si>
  <si>
    <t>113-G</t>
  </si>
  <si>
    <t>316-B</t>
  </si>
  <si>
    <t>M.C.E. Ignacio Grajales Alonso</t>
  </si>
  <si>
    <t>M.C.Q.B. David Gómez Martínez</t>
  </si>
  <si>
    <t>Dra. Lilian Arzeta Pino</t>
  </si>
  <si>
    <t>M.C.P.E.D.R. Elsa A. Mendoza Cortés</t>
  </si>
  <si>
    <t>L.O. Litzi Citlalic Serra Suárez</t>
  </si>
  <si>
    <t>514-A</t>
  </si>
  <si>
    <t>103-I PE 2024</t>
  </si>
  <si>
    <t>113-H</t>
  </si>
  <si>
    <t>Fundamentos de Cirugía</t>
  </si>
  <si>
    <t>PTC1-LM</t>
  </si>
  <si>
    <t>Anatomía y Fisiología Patológica</t>
  </si>
  <si>
    <t>Farmacología II</t>
  </si>
  <si>
    <t>PTC12-LM</t>
  </si>
  <si>
    <t>Imagenología Médica</t>
  </si>
  <si>
    <t>PTC6-LM</t>
  </si>
  <si>
    <t>M.A. Aurelia Gómez Gómez</t>
  </si>
  <si>
    <t>Salud Pública</t>
  </si>
  <si>
    <t>M.S.P. José Luis Eliazar Torralba Flores</t>
  </si>
  <si>
    <t>103-J PE 2024</t>
  </si>
  <si>
    <t>113-I</t>
  </si>
  <si>
    <t>514-B</t>
  </si>
  <si>
    <t>E.E.S.M.P. Dania Velasco Ramírez</t>
  </si>
  <si>
    <t>Méd. Xochiquetzalli García Mendoza</t>
  </si>
  <si>
    <t>M.C.D.R.T. Lizeth Daniza Gómez Hernández</t>
  </si>
  <si>
    <t>Inmunología I</t>
  </si>
  <si>
    <t>103-K PE 2024</t>
  </si>
  <si>
    <t>Fisiología Sistémica</t>
  </si>
  <si>
    <t>113-J</t>
  </si>
  <si>
    <t>514-C</t>
  </si>
  <si>
    <t>Bacteriología</t>
  </si>
  <si>
    <t>303-A PE 2024</t>
  </si>
  <si>
    <t>Bases de la Enfermería Clínica</t>
  </si>
  <si>
    <t>Biología Molecular de los Eucariontes</t>
  </si>
  <si>
    <t>E.E.S.M.P. Isabel Santos Ruiz</t>
  </si>
  <si>
    <t>Dr. Pedro Durán Férman</t>
  </si>
  <si>
    <t>colocar un dia con 4 horas seguidas de esta materia</t>
  </si>
  <si>
    <t>Bases de la Enfermería Comunitaría</t>
  </si>
  <si>
    <t>Introducción a la Psicología</t>
  </si>
  <si>
    <t>M.S.P. Gloria Verónica Alba Alba</t>
  </si>
  <si>
    <t>Modelos de Investigación</t>
  </si>
  <si>
    <t>714-A</t>
  </si>
  <si>
    <t>313-A</t>
  </si>
  <si>
    <t>Fisiología Avanzada</t>
  </si>
  <si>
    <t>Anatomía e Histología Dental</t>
  </si>
  <si>
    <t>Cirugía cardiotorácica</t>
  </si>
  <si>
    <t>C.D. Jesús Cruz Velazquez</t>
  </si>
  <si>
    <t>Neumología</t>
  </si>
  <si>
    <t>E.N. Daniela Ruiz Ramírez</t>
  </si>
  <si>
    <t>Patología General e Inmunología</t>
  </si>
  <si>
    <t>PTC2-LM</t>
  </si>
  <si>
    <t>303-B PE 2024</t>
  </si>
  <si>
    <t>E.E.P. Rossell Perla Stockett Hernández</t>
  </si>
  <si>
    <t>Cardiología</t>
  </si>
  <si>
    <t>PTC5-LM</t>
  </si>
  <si>
    <t>Farmacología en Odontología</t>
  </si>
  <si>
    <t>Genética</t>
  </si>
  <si>
    <t>Odontología Preventiva y Salud Pública I</t>
  </si>
  <si>
    <t>Dr. José Eduardo Orellana Centeno</t>
  </si>
  <si>
    <t>Epidemiología</t>
  </si>
  <si>
    <t>Radiología e Imagenología</t>
  </si>
  <si>
    <t>313-B</t>
  </si>
  <si>
    <t>303-C PE 2024</t>
  </si>
  <si>
    <t>M.A.S.E. Porfiria Sánchez Martínez</t>
  </si>
  <si>
    <t xml:space="preserve">Bioinformatica Básica </t>
  </si>
  <si>
    <t>303-D PE 2024</t>
  </si>
  <si>
    <t>C.D. Amalinalli Barón Zaragoza</t>
  </si>
  <si>
    <t>M.C.E. Luis Miguel Márquez Valdez</t>
  </si>
  <si>
    <t>313-C</t>
  </si>
  <si>
    <t>303-E PE 2024</t>
  </si>
  <si>
    <t>Dra. Verónica Marilú Brena Ramos</t>
  </si>
  <si>
    <t>M.E. Laura Alejandra Mora González</t>
  </si>
  <si>
    <t>M.R.N. Pedro Luis Hernández González</t>
  </si>
  <si>
    <t>714-B</t>
  </si>
  <si>
    <t>C.D. Katia Cecilia González Vázquez</t>
  </si>
  <si>
    <t>303-F PE 2024</t>
  </si>
  <si>
    <t>313-D</t>
  </si>
  <si>
    <t>M.D.C.S. Concepción Julián López</t>
  </si>
  <si>
    <t>PTC4-LM</t>
  </si>
  <si>
    <t>303-G PE 2024</t>
  </si>
  <si>
    <t>714-C</t>
  </si>
  <si>
    <t>L.O. Jocabet Ramírez García</t>
  </si>
  <si>
    <t>PROFESORES DE LCB</t>
  </si>
  <si>
    <t>TOTAL DE MATERIAS</t>
  </si>
  <si>
    <t>Otras carreras</t>
  </si>
  <si>
    <t>Total Grupos</t>
  </si>
  <si>
    <t>Total alumnos</t>
  </si>
  <si>
    <t>Total horas a la semana</t>
  </si>
  <si>
    <t>Status</t>
  </si>
  <si>
    <t>Reincorporación</t>
  </si>
  <si>
    <t>Horario Laboral</t>
  </si>
  <si>
    <t>Observaciones</t>
  </si>
  <si>
    <t>313-E</t>
  </si>
  <si>
    <t>914-A</t>
  </si>
  <si>
    <t>Ginecología</t>
  </si>
  <si>
    <t>Nefrología</t>
  </si>
  <si>
    <t>Reumatología</t>
  </si>
  <si>
    <t>Pediatría II</t>
  </si>
  <si>
    <t>Metodología de la investigación cualitativa</t>
  </si>
  <si>
    <t>313-F</t>
  </si>
  <si>
    <t>914-B</t>
  </si>
  <si>
    <t>L.O. Zoe Mabel Méndez Cruz</t>
  </si>
  <si>
    <t>Dr. Hady Keita</t>
  </si>
  <si>
    <t>313-G</t>
  </si>
  <si>
    <t xml:space="preserve">9:00-14:00 y 16:00-19:00 </t>
  </si>
  <si>
    <t>1114-A</t>
  </si>
  <si>
    <t>Urología</t>
  </si>
  <si>
    <t>Méd. Jasibe Ivette Cruz Vásquez</t>
  </si>
  <si>
    <t>Hematología</t>
  </si>
  <si>
    <t>Endocrinología</t>
  </si>
  <si>
    <t>Urgencias Médicas</t>
  </si>
  <si>
    <t>513-A</t>
  </si>
  <si>
    <t>Administración de Organizaciones y Servicios de Salud</t>
  </si>
  <si>
    <t>Exodoncia I</t>
  </si>
  <si>
    <t>Patología Bucodental</t>
  </si>
  <si>
    <t>8:00-13:00 y 16:00-19:00</t>
  </si>
  <si>
    <t>C.D. Luis Felipe Aguilar Mendoza</t>
  </si>
  <si>
    <t>1114-B</t>
  </si>
  <si>
    <t>Técnicas Quirúrgicas</t>
  </si>
  <si>
    <t>Operatoria Dental I</t>
  </si>
  <si>
    <t>Psicología Aplicada a la Clínica</t>
  </si>
  <si>
    <t>513-B</t>
  </si>
  <si>
    <t>503-A PE 2024</t>
  </si>
  <si>
    <t>Enfermería Gerontológica</t>
  </si>
  <si>
    <t>1114-C</t>
  </si>
  <si>
    <t>Enfermería Materno Infantil</t>
  </si>
  <si>
    <t>Nutrición y Dietoterapia</t>
  </si>
  <si>
    <t>M.S.P. Felipe de Jesús Parada Luna</t>
  </si>
  <si>
    <t>LN</t>
  </si>
  <si>
    <t>L.O. Armando Angelino Pérez Mendoza</t>
  </si>
  <si>
    <t>Farmacología Especializada</t>
  </si>
  <si>
    <t>Méd. José Guadalupe Reyes Ramírez</t>
  </si>
  <si>
    <t>Patología Clínica</t>
  </si>
  <si>
    <t>513-C</t>
  </si>
  <si>
    <t>503-B PE 2024</t>
  </si>
  <si>
    <t>L.O. Elver Santiago García</t>
  </si>
  <si>
    <t>Internado de pregrado en APS</t>
  </si>
  <si>
    <t>GyO</t>
  </si>
  <si>
    <t>16-18 HORAS</t>
  </si>
  <si>
    <t>513-D</t>
  </si>
  <si>
    <t>Pediatría</t>
  </si>
  <si>
    <t>Proyecto</t>
  </si>
  <si>
    <t>Urgencias</t>
  </si>
  <si>
    <t>Cirugía</t>
  </si>
  <si>
    <t>713-A</t>
  </si>
  <si>
    <t>503-C PE 2024</t>
  </si>
  <si>
    <t>Salud pública y APS</t>
  </si>
  <si>
    <t>Prostodoncia</t>
  </si>
  <si>
    <t>Prótesis Bucal II</t>
  </si>
  <si>
    <t>M.S.P. Eric Ramirez Bohorquez</t>
  </si>
  <si>
    <t>Endodoncia I</t>
  </si>
  <si>
    <t>Bioestadística</t>
  </si>
  <si>
    <t>M.C.A.C. José Alberto Cruz Tolentino</t>
  </si>
  <si>
    <t>Nutrición</t>
  </si>
  <si>
    <t>L.N. César Juárez Durán</t>
  </si>
  <si>
    <t>503-D PE 2024</t>
  </si>
  <si>
    <t>713-B</t>
  </si>
  <si>
    <t>L.O. Damary López Reyes</t>
  </si>
  <si>
    <t>703-A PE 2018</t>
  </si>
  <si>
    <t>Enfermería Pediátrica</t>
  </si>
  <si>
    <t>Enfermería Geriátrica</t>
  </si>
  <si>
    <t>M.S.P. Silvia Mercedes Coca</t>
  </si>
  <si>
    <t>Sábatico</t>
  </si>
  <si>
    <t>PROFESORES DE LM</t>
  </si>
  <si>
    <t>Septiembre</t>
  </si>
  <si>
    <t>Psiquiatría</t>
  </si>
  <si>
    <t>PTC9-LM</t>
  </si>
  <si>
    <t>Administración en los Servicios de Enfermería</t>
  </si>
  <si>
    <t>713-C</t>
  </si>
  <si>
    <t>703-B PE 2018</t>
  </si>
  <si>
    <t>C.D. Javier López Reyes</t>
  </si>
  <si>
    <t>Dr. Alejandro Jarillo Silva</t>
  </si>
  <si>
    <t>Proyecto, SOLO CLASES EN LA MAÑANA</t>
  </si>
  <si>
    <t>703-C PE 2018</t>
  </si>
  <si>
    <t>Dra. Maria Dolores Caballero Sánchez</t>
  </si>
  <si>
    <t>M.R.N. Lisbeht Amaro López</t>
  </si>
  <si>
    <t>M.C.M. Jesús Pacheco Mendoza</t>
  </si>
  <si>
    <t>713-D</t>
  </si>
  <si>
    <t>9-14 y 16-19</t>
  </si>
  <si>
    <t>903-A PE 2018</t>
  </si>
  <si>
    <t>Rehabilitación en enfermería</t>
  </si>
  <si>
    <t>Estrategias de enseñanza aprendizaje</t>
  </si>
  <si>
    <t>Dra. Concepción Maritza Jarquín Olivera</t>
  </si>
  <si>
    <t xml:space="preserve">Proyecto, </t>
  </si>
  <si>
    <t>Bioética</t>
  </si>
  <si>
    <t>Investigación Cualitativa en Enfermería</t>
  </si>
  <si>
    <t>Seguridad e Higiene en el Trabajo</t>
  </si>
  <si>
    <t>913-A</t>
  </si>
  <si>
    <t>Cirugía Bucal</t>
  </si>
  <si>
    <t>C.D. Mauricio González Osorio</t>
  </si>
  <si>
    <t>903-B PE 2018</t>
  </si>
  <si>
    <t>Odontopediatría II</t>
  </si>
  <si>
    <t>Ortodoncia</t>
  </si>
  <si>
    <t>Investigación en Salud</t>
  </si>
  <si>
    <t>Periodoncia</t>
  </si>
  <si>
    <t>PTC-LO1</t>
  </si>
  <si>
    <t>913-B</t>
  </si>
  <si>
    <t>903-C PE 2018</t>
  </si>
  <si>
    <t>M.C.T.A. Iliana Vásquez Lara</t>
  </si>
  <si>
    <t>913-C</t>
  </si>
  <si>
    <t>8-13 y 16-19</t>
  </si>
  <si>
    <t>M.E.D. Verónica García Brena</t>
  </si>
  <si>
    <t>Dra. María Alejandra Sánchez Bandala</t>
  </si>
  <si>
    <t>Clínica Integral</t>
  </si>
  <si>
    <t>913 B y 1013 (14:00-16:00 hrs)</t>
  </si>
  <si>
    <t>913 A Y C (16:00-18:00 hrs)</t>
  </si>
  <si>
    <t>713 C Y D (10:00-12:00 hrs)</t>
  </si>
  <si>
    <t>PROFESORES DE LE</t>
  </si>
  <si>
    <t>713 A Y B (12:00-14:00 hrs)</t>
  </si>
  <si>
    <t>08:00-13:00 y 16:00-19:00</t>
  </si>
  <si>
    <t>Materias</t>
  </si>
  <si>
    <t>PROFESORES DE LO</t>
  </si>
  <si>
    <t>9:00-14:00 y 16:00-19:00</t>
  </si>
  <si>
    <t>DI-5</t>
  </si>
  <si>
    <t>9:00-14:00        16:00-19:00</t>
  </si>
  <si>
    <t>9:00-14:00        17:00-19:00, SÁBADO</t>
  </si>
  <si>
    <t>8-14 y 17-19</t>
  </si>
  <si>
    <t>10:00-17:00, sábado</t>
  </si>
  <si>
    <t>Dejar hora libre de 13:00-14:00</t>
  </si>
  <si>
    <t>Coordinación de titulación de EGEL</t>
  </si>
  <si>
    <t>Méd. Anely Gutiérrez Bustamante</t>
  </si>
  <si>
    <t>Licencia</t>
  </si>
  <si>
    <t>M.A.H.S.S. Erica Rocío Gaspar Sánchez</t>
  </si>
  <si>
    <t>Sabático</t>
  </si>
  <si>
    <t>M.S.P. Adrián Gabriel Delgado Lara</t>
  </si>
  <si>
    <t>9:00-16:00, sábado</t>
  </si>
  <si>
    <t>9:00-14:00      16:00-19:00</t>
  </si>
  <si>
    <t>No asignar clase a las 4:00 pm</t>
  </si>
  <si>
    <t>9:00-16:00, Sábado</t>
  </si>
  <si>
    <t>8:00-13:00      16:00-19:00</t>
  </si>
  <si>
    <t>E.O. Guadalupe Carlos Ogarrio Ramírez</t>
  </si>
  <si>
    <t>M.P. Tania Lizbeth Hernández Cruz</t>
  </si>
  <si>
    <t xml:space="preserve"> </t>
  </si>
  <si>
    <t xml:space="preserve">M.C.S. Carmela Cortez Gonsalez </t>
  </si>
  <si>
    <t>1/2 Sabático 13-Aug</t>
  </si>
  <si>
    <t>L.E. Gisela Mayra Bustamante Ramos</t>
  </si>
  <si>
    <t>1/2 sábatico</t>
  </si>
  <si>
    <t>Dr. Samuel Sánchez Hernández</t>
  </si>
  <si>
    <t>Solicitó Licencia</t>
  </si>
  <si>
    <t>M.D. Elizabeth Cortés Bohórquez</t>
  </si>
  <si>
    <t>M.E. José Alberto Ramírez Rodríguez</t>
  </si>
  <si>
    <t>Se reincorpora 23 de febrero de 2027</t>
  </si>
  <si>
    <t>E.E.U. Rolando Emilio Martínez Juárez</t>
  </si>
  <si>
    <t>M.T.H.E.Q. Margarita Selene Aragón Sierra</t>
  </si>
  <si>
    <t>E.E.N. Maritza Nicolás Santiago</t>
  </si>
  <si>
    <t>En octubre incapacidad por maternidad</t>
  </si>
  <si>
    <t>107-A PE 2025</t>
  </si>
  <si>
    <t>Fundamentos de Nutrición Humana</t>
  </si>
  <si>
    <t>M.C.A. Laura Jocelyn Valdez Gutiérrez</t>
  </si>
  <si>
    <t>Introducción a las Ciencias Administrativas</t>
  </si>
  <si>
    <t>Anatomía y fisiología Humana I</t>
  </si>
  <si>
    <t>M.E.O. Mariano Olvera Ramírez</t>
  </si>
  <si>
    <t>Antropología de la Alimentación</t>
  </si>
  <si>
    <t>Química Nutricional</t>
  </si>
  <si>
    <t>CEDGE - DO</t>
  </si>
  <si>
    <t>Informática empresarial</t>
  </si>
  <si>
    <t>M.T.E. Everardo de Jesús Pacheco Antonio</t>
  </si>
  <si>
    <t>LAP/LAM</t>
  </si>
  <si>
    <t>CEDGE, Sala de Cómputo</t>
  </si>
  <si>
    <t>Matemáticas para ciencias empresariales</t>
  </si>
  <si>
    <t>M.E. Jorge Lamas Carlos</t>
  </si>
  <si>
    <t>107-B PE 2025</t>
  </si>
  <si>
    <t>Aula con mesas, sillas y cañon</t>
  </si>
  <si>
    <t>Introducción a la contabilidad</t>
  </si>
  <si>
    <t>L.C. Zayra Trujillo Báez</t>
  </si>
  <si>
    <t>Asignar 2 clases de 2 horas y una clase de 1 hora.</t>
  </si>
  <si>
    <t>307 PE 2025</t>
  </si>
  <si>
    <t>Evaluación del Estado de Nutrición I</t>
  </si>
  <si>
    <t>M.S.P. Teófila Enriquez Almaraz</t>
  </si>
  <si>
    <t xml:space="preserve">Educación Alimentaria Nutricional </t>
  </si>
  <si>
    <t xml:space="preserve">Patología General y Trastornos Asociados a la Nutrición </t>
  </si>
  <si>
    <t>Bioquímica Nutricional II</t>
  </si>
  <si>
    <t>Dra. Claudia Villanueva Cañongo</t>
  </si>
  <si>
    <t>Administración de Recursos Humanos II</t>
  </si>
  <si>
    <t xml:space="preserve">Microbiología de los Alimentos </t>
  </si>
  <si>
    <t>Administración de Compras e Inventarios</t>
  </si>
  <si>
    <t>507 PE 2017</t>
  </si>
  <si>
    <t>Cálculo y Laboratorio de Nutrición en el Ciclo de Vida</t>
  </si>
  <si>
    <t>Estadística Inferencial</t>
  </si>
  <si>
    <t>Gastroenterología Nutricional</t>
  </si>
  <si>
    <t>Laboratorio de Evaluación del Estado de Nutrición</t>
  </si>
  <si>
    <t xml:space="preserve">Contabilidad de Costos </t>
  </si>
  <si>
    <t>Administración general</t>
  </si>
  <si>
    <t>M.I.A. Hadya Concepción Díaz Ortíz</t>
  </si>
  <si>
    <t>Nutrición Poblacional II</t>
  </si>
  <si>
    <r>
      <rPr>
        <rFont val="Calibri"/>
        <b/>
        <color theme="1"/>
      </rPr>
      <t>No</t>
    </r>
    <r>
      <rPr>
        <rFont val="Calibri"/>
        <color theme="1"/>
      </rPr>
      <t xml:space="preserve"> asignar clase a las 16:00 </t>
    </r>
  </si>
  <si>
    <t>707 PE 2017</t>
  </si>
  <si>
    <t>Derecho Mercantil</t>
  </si>
  <si>
    <t>M.G.P. Rafael Rentería Gaeta</t>
  </si>
  <si>
    <t>Cálculo y Dietoterapia en Situaciones Patológicas II</t>
  </si>
  <si>
    <t>Clase de 8:00 a 9:00</t>
  </si>
  <si>
    <t>Nutrición y Farmacología</t>
  </si>
  <si>
    <t>Química de los Alimentos</t>
  </si>
  <si>
    <t>Análisis de Alimentos</t>
  </si>
  <si>
    <t>Administración de Servicios de Alimentos II</t>
  </si>
  <si>
    <t>Administración de Sueldos y Salarios</t>
  </si>
  <si>
    <t>907 PE 2017</t>
  </si>
  <si>
    <t>Atención Clínica Nutricional</t>
  </si>
  <si>
    <t>M.N.C. Griselda Belén Avendaño Rodríguez</t>
  </si>
  <si>
    <t>Taller de Metodología de la Investigación</t>
  </si>
  <si>
    <t>Nutrición en Salud Pública</t>
  </si>
  <si>
    <t>Métodos y Técnicas de Investigación</t>
  </si>
  <si>
    <t>Macroeconomía</t>
  </si>
  <si>
    <t>Dr. Ramón Inzunza Acosta</t>
  </si>
  <si>
    <t>Tecnología de Alimentos de Origen Animal</t>
  </si>
  <si>
    <t>CEDGE - Sala Computo</t>
  </si>
  <si>
    <t>Finanzas Empresariales I</t>
  </si>
  <si>
    <t>M.F. Máximo Jorge Saavedra García</t>
  </si>
  <si>
    <t>Derecho Fiscal</t>
  </si>
  <si>
    <t>M.E. Benito Güizado Hernández</t>
  </si>
  <si>
    <t xml:space="preserve">*M.C.A. Laura Jocelyn Valdez Gutiérrez 1 grupo de enfermería/Odonto </t>
  </si>
  <si>
    <t>Administración Estratégica de Ventas</t>
  </si>
  <si>
    <t>M.C.D.R.T. Víctor Santiago Sarmiento</t>
  </si>
  <si>
    <t>CEDGE - Sala SIG</t>
  </si>
  <si>
    <t>Investigación de Operaciones</t>
  </si>
  <si>
    <t>LGDM</t>
  </si>
  <si>
    <t>Economía del Sector Público México</t>
  </si>
  <si>
    <t>Sistema Financiero</t>
  </si>
  <si>
    <t>Planeación Estratégica</t>
  </si>
  <si>
    <t>M.I.S. Fabiola Crespo Barrios</t>
  </si>
  <si>
    <t>PROFESORES DE LN</t>
  </si>
  <si>
    <t>Total</t>
  </si>
  <si>
    <t>Cultura Empresarial</t>
  </si>
  <si>
    <t>Emprendimiento de Negocios</t>
  </si>
  <si>
    <t>Comercio Exterior</t>
  </si>
  <si>
    <t>Finanzas Corporativas</t>
  </si>
  <si>
    <t>Gestión de la Calidad</t>
  </si>
  <si>
    <t xml:space="preserve">Solicitud de sábatico con resolución pendiente </t>
  </si>
  <si>
    <t>PROFESORES DE LCE</t>
  </si>
  <si>
    <t>M.C. Fátima Araceli Ramírez Caballero</t>
  </si>
  <si>
    <t>09:00 - 14:00 y 16:00 - 19:00</t>
  </si>
  <si>
    <t xml:space="preserve">LICENCIA </t>
  </si>
  <si>
    <t>M.C.S. Olaf Montes de Oca Juárez</t>
  </si>
  <si>
    <t>M.C.B. Aracelí Meneses Corona</t>
  </si>
  <si>
    <t xml:space="preserve">SABÁTICO </t>
  </si>
  <si>
    <r>
      <rPr>
        <rFont val="Calibri"/>
        <b/>
        <color theme="1"/>
      </rPr>
      <t>A</t>
    </r>
    <r>
      <rPr>
        <rFont val="Calibri"/>
        <color theme="1"/>
      </rPr>
      <t xml:space="preserve">signar clase de 8:00 a 13:00  </t>
    </r>
  </si>
  <si>
    <t>Asignar clases de 12 a 14:00 y de 16:00 a 18:00. En planta baja</t>
  </si>
  <si>
    <t>106-A PE 2022</t>
  </si>
  <si>
    <t>Diseño Estructurado de Algoritmos</t>
  </si>
  <si>
    <t>Administración</t>
  </si>
  <si>
    <t>Lógica Matemática</t>
  </si>
  <si>
    <t>El Mtro Pacheco está en la disponibilidad de atender el grupo fusionado al ser de 27 alumnos</t>
  </si>
  <si>
    <t>Cálculo I</t>
  </si>
  <si>
    <t>M.C. Enrique García Reyes</t>
  </si>
  <si>
    <t>El Mtro Enrique está en la disponibilidad de atender el grupo fusionado al ser de 27 alumnos</t>
  </si>
  <si>
    <t>106-B PE 2022</t>
  </si>
  <si>
    <t>M.C.C Eliezer Álcazar Silva</t>
  </si>
  <si>
    <t>Esta materia es difícil y podría divirse solo para esta materia el grupo</t>
  </si>
  <si>
    <t>M.I.S. Fabiola Crespo Barrios *</t>
  </si>
  <si>
    <t>Se une con 106-A</t>
  </si>
  <si>
    <t>Dr. Guadalupe Gabriel Durán Férman *</t>
  </si>
  <si>
    <t>M.C.M. Jesús Pacheco Mendoza*</t>
  </si>
  <si>
    <t>M.C.P.E.D.R. Marco A. Santos Martínez</t>
  </si>
  <si>
    <t>M.C. Enrique García Reyes *</t>
  </si>
  <si>
    <t>24 sept 2027</t>
  </si>
  <si>
    <t>306 A PE 2022</t>
  </si>
  <si>
    <t>Estructuras de Datos</t>
  </si>
  <si>
    <t>M.C.C. Lirio Ruíz Guerra</t>
  </si>
  <si>
    <t>Dra. Felícitas Ortíz García</t>
  </si>
  <si>
    <t>1/2 sabático</t>
  </si>
  <si>
    <t>Electrónica Digital</t>
  </si>
  <si>
    <t>Contabilidad y Finanzas</t>
  </si>
  <si>
    <t>Asignar Sala de Redes en CETI</t>
  </si>
  <si>
    <t>Teoría de Autómatas</t>
  </si>
  <si>
    <t>Podrían haber bajas</t>
  </si>
  <si>
    <t>Álgebra Lineal</t>
  </si>
  <si>
    <t>306 B PE 2022</t>
  </si>
  <si>
    <t>506 PE 2022</t>
  </si>
  <si>
    <t>Paradigmas de Programación II</t>
  </si>
  <si>
    <t>Redes I</t>
  </si>
  <si>
    <t>Dr. Arisaí Darío Barragán López</t>
  </si>
  <si>
    <t>Bases de Datos II</t>
  </si>
  <si>
    <t>Fundamentos de Sistemas Operativos</t>
  </si>
  <si>
    <t>Diseño Web</t>
  </si>
  <si>
    <t>706 PE 2022</t>
  </si>
  <si>
    <t>Aula solicitada</t>
  </si>
  <si>
    <t>Tecnologías Web II</t>
  </si>
  <si>
    <t>M.T.I.E. Irving Ulises Hernández Miguel</t>
  </si>
  <si>
    <t>Horario preferente</t>
  </si>
  <si>
    <t>Derecho y Legislación en Informática</t>
  </si>
  <si>
    <t>Bases de Datos Avanzadas</t>
  </si>
  <si>
    <t>105 PE 2024</t>
  </si>
  <si>
    <t>Ingeniería de Software II</t>
  </si>
  <si>
    <t>Dr. Jesús Cruz Ahuactzi</t>
  </si>
  <si>
    <t>Probabilidad y Estadística</t>
  </si>
  <si>
    <t>Introducción al Sistema Jurídico Mexicano</t>
  </si>
  <si>
    <t>Sala de Cabildos (CEDGE)</t>
  </si>
  <si>
    <t>8:00-9:00</t>
  </si>
  <si>
    <t>906 PE 2022</t>
  </si>
  <si>
    <t>El Mtro. Benito ya tiene asignadas 4 clases</t>
  </si>
  <si>
    <t xml:space="preserve">Fundamentos de la Administración Pública </t>
  </si>
  <si>
    <t>Dr. Christian Arturo Cruz Meléndez</t>
  </si>
  <si>
    <t>Metodología de la Investigación</t>
  </si>
  <si>
    <t>Sala SIG (CEDGE)</t>
  </si>
  <si>
    <t>10:00-11:00</t>
  </si>
  <si>
    <t>Seguridad de Centros de Informática</t>
  </si>
  <si>
    <t>Aula</t>
  </si>
  <si>
    <t>17:00-18:00</t>
  </si>
  <si>
    <t>El Mtro. Diego Toto ha impartido HPF</t>
  </si>
  <si>
    <t>Proyectos de Tecnologías de Información</t>
  </si>
  <si>
    <t>Historia Mundial</t>
  </si>
  <si>
    <t>Dra. Rocío Bravo Salazar</t>
  </si>
  <si>
    <t>Sala de Desarrollo Organizacional (CEDGE)</t>
  </si>
  <si>
    <t>12:00-13:00</t>
  </si>
  <si>
    <t>Opt 1 – Tecnologías de Información I</t>
  </si>
  <si>
    <t>Matemáticas Aplicadas a las Ciencias Sociales</t>
  </si>
  <si>
    <t>Opt 2 – Inteligencia Artificial I</t>
  </si>
  <si>
    <t>9:00-10:00</t>
  </si>
  <si>
    <t>305 PE 2024</t>
  </si>
  <si>
    <t>Derecho Administrativo</t>
  </si>
  <si>
    <t>Microeconomía</t>
  </si>
  <si>
    <t>08:00-9:00</t>
  </si>
  <si>
    <t>Enfoques y Tendencias de la Administración Pública</t>
  </si>
  <si>
    <t>Dr. Daniel Robles Torres</t>
  </si>
  <si>
    <t>Aula DEP</t>
  </si>
  <si>
    <t>Ciencia Política</t>
  </si>
  <si>
    <t>M.C.P. Rocío Bravo Salazar</t>
  </si>
  <si>
    <t>11:00-12:00</t>
  </si>
  <si>
    <t>Gobierno y Asuntos Públicos</t>
  </si>
  <si>
    <t>M.P.P. Juan Carlos Mata Espinoza</t>
  </si>
  <si>
    <t>El Mtro. Juan Carlos NO ha impartido HPF pero puede apoyar en asignaturas relacionadas con políticas públicas.</t>
  </si>
  <si>
    <t>505 PE 2024</t>
  </si>
  <si>
    <t>Procesos de Gobierno en el Ámbito Municipal</t>
  </si>
  <si>
    <t>M.C.S. Rosario Maya Lucas</t>
  </si>
  <si>
    <t>12:00-1:00</t>
  </si>
  <si>
    <t>PROFESORES DE LI</t>
  </si>
  <si>
    <t>La Mtra. Daniza ha impartido HPF</t>
  </si>
  <si>
    <t xml:space="preserve">Contabilidad Gubernamental </t>
  </si>
  <si>
    <t xml:space="preserve">M.C.D.R.T. Lizeth Daniza Gómez Hernández </t>
  </si>
  <si>
    <t>09:00-10:00</t>
  </si>
  <si>
    <t>Finanzas Públicas I</t>
  </si>
  <si>
    <t>Unir con el grupo 905</t>
  </si>
  <si>
    <t>Sistemas de Información Geográfica</t>
  </si>
  <si>
    <t>Implementación de Políticas Públicas</t>
  </si>
  <si>
    <t>705 PE 2012</t>
  </si>
  <si>
    <t>Gestión de Recursos Humanos</t>
  </si>
  <si>
    <t>Políticas Públicas II</t>
  </si>
  <si>
    <t>12:00- 1:00</t>
  </si>
  <si>
    <t>Sistemas de Auditoría Gubernamental</t>
  </si>
  <si>
    <t>Procesos de Gobierno en México (Ámbito Federal)</t>
  </si>
  <si>
    <t>Gerencia Social</t>
  </si>
  <si>
    <t>Dra. Alicia Martínez Cruz</t>
  </si>
  <si>
    <t>11:00 -12:00</t>
  </si>
  <si>
    <t>905 PE 2012</t>
  </si>
  <si>
    <t>Ética y Rendición de Cuentas Públicas</t>
  </si>
  <si>
    <t>Se programaron todas las materias por la mañana para que los alumnos puedan avanzar con su servicio social para evitar que en décimo semestre se saturen con las materias y las tesis.</t>
  </si>
  <si>
    <t>M.A.E. Enrique Martínez Sánchez</t>
  </si>
  <si>
    <t>Sala Cabildo (CEDGE)</t>
  </si>
  <si>
    <t>12:00 - 1:00</t>
  </si>
  <si>
    <t>Gestión y Administración Urbana</t>
  </si>
  <si>
    <t>Dr. Omar Ávila Flores</t>
  </si>
  <si>
    <t>Los alumnos podrían tomar inglés de 4:00 a 5:00 y biblioteca de 1:00 a 2:00</t>
  </si>
  <si>
    <t>Procesos de Gobierno en México (Ámbito Municipal)</t>
  </si>
  <si>
    <t>Dr. Arturo César López García</t>
  </si>
  <si>
    <t>11:00 - 12:00</t>
  </si>
  <si>
    <t>Sala de Cabildos, asignar clase por la mañana</t>
  </si>
  <si>
    <t>Seminario de Tesis I</t>
  </si>
  <si>
    <t>Clase de 9 a 10</t>
  </si>
  <si>
    <t>PROFESORES DE LAP</t>
  </si>
  <si>
    <t>08:00 - 13:00 y 16:00 - 19:00</t>
  </si>
  <si>
    <t>Coordinación UNSIS Evaluación SEAES</t>
  </si>
  <si>
    <t>Revisa tesis de posgrado, dirección de tesis de posgrado</t>
  </si>
  <si>
    <t>DI-6</t>
  </si>
  <si>
    <t xml:space="preserve">Comisión de Planes Micro-Regional y Municipales </t>
  </si>
  <si>
    <t xml:space="preserve">Comisión de Planes </t>
  </si>
  <si>
    <t>Dra. Nina Martínez Cruz</t>
  </si>
  <si>
    <t>Comisión de Planes</t>
  </si>
  <si>
    <t>Horarios/Ejemplo:</t>
  </si>
  <si>
    <t>M.C.P. Joann Etienne Olivier Picard</t>
  </si>
  <si>
    <t>Sala SIG</t>
  </si>
  <si>
    <t>Historia y Cultura de los Pueblos Originarios</t>
  </si>
  <si>
    <t>Dr. Joaquín Huitzilihuitl Camacho Vera</t>
  </si>
  <si>
    <t>13:00-14:00</t>
  </si>
  <si>
    <t xml:space="preserve">Proyectos de investigación (protocolos) de los alumnos de del Grupo 905 y requiere tiempo para asesorías. </t>
  </si>
  <si>
    <t>Aula con mesas, sillas y cañon en DEP</t>
  </si>
  <si>
    <t>Contabilidad I</t>
  </si>
  <si>
    <t>08:00-09:00</t>
  </si>
  <si>
    <t>M.D.G.P.L. Eleazar Brena García</t>
  </si>
  <si>
    <t>por la mañana, sin preferencia de aulas</t>
  </si>
  <si>
    <t>Asesoría</t>
  </si>
  <si>
    <t>Coordinación LAP Evaluación SEAES</t>
  </si>
  <si>
    <t>M.A.I.A Abisaí Aragón Cruz</t>
  </si>
  <si>
    <t>Solicitó 1/2 sabático a partir del 03 de octubre</t>
  </si>
  <si>
    <t>Dr. Roberto García Zúñiga</t>
  </si>
  <si>
    <t>09:00-14:00 / 16:00-19:00</t>
  </si>
  <si>
    <t>M.P.E.M. Emanuel Lorenzo Ramírez Arellanes</t>
  </si>
  <si>
    <t xml:space="preserve">1/2 Sábatico </t>
  </si>
  <si>
    <t>20 de Febrero 2027</t>
  </si>
  <si>
    <t>Comisión SEAES</t>
  </si>
  <si>
    <t>08:00-13:00 / 16:00-19:00</t>
  </si>
  <si>
    <t>poner todas las clases en la mañana</t>
  </si>
  <si>
    <t xml:space="preserve">SNII - Nivel 1, Comisión de Planes Micro-Regional y Municipales </t>
  </si>
  <si>
    <t>SNII - Nivel 1, Dirección de tesis de doctorado y licenciatura</t>
  </si>
  <si>
    <t>Dr. Arturo Benítez Hernández</t>
  </si>
  <si>
    <t>Dr. José Javier Hernández Barriga</t>
  </si>
  <si>
    <t>M.C. Teresita de Jesús Mijangos Martínez</t>
  </si>
  <si>
    <t>M.C.C. Silviana Juárez Chalini</t>
  </si>
  <si>
    <t>M.C.M. Oscar Cuauhtémoc Esperanza Contreras</t>
  </si>
  <si>
    <t>Renunció</t>
  </si>
  <si>
    <t>Auditoría Gubernamental</t>
  </si>
  <si>
    <t>Sustentabilidad y Gestión Local</t>
  </si>
  <si>
    <t>asignar clase por la mañana</t>
  </si>
  <si>
    <t>Metodología de la Investigación Cuantitativa</t>
  </si>
  <si>
    <t>Planeación, Programación y Presupuesto</t>
  </si>
  <si>
    <t>Desarrollo Urbano</t>
  </si>
  <si>
    <t>Administración de Obras Públicas</t>
  </si>
  <si>
    <t>Administración de Servicios Públicos Municipales</t>
  </si>
  <si>
    <t>Dr. Oscar David Valencia López</t>
  </si>
  <si>
    <t>en DEP</t>
  </si>
  <si>
    <t>Sistemas de Evaluación y Seguimiento</t>
  </si>
  <si>
    <t>Formulación y Evaluación de Proyectos de Inversión</t>
  </si>
  <si>
    <t>Taller de Redacción de Tesis I</t>
  </si>
  <si>
    <t>Dr. Jose Rudier López Hernández</t>
  </si>
  <si>
    <t>asignar clase por la mañana, en DEP</t>
  </si>
  <si>
    <t>MPEM 108</t>
  </si>
  <si>
    <t>Fundamentos, Métodos y Técnicas de Planeación</t>
  </si>
  <si>
    <t>Teoría del Desarrollo</t>
  </si>
  <si>
    <t>Teoría y Marco Jurídico del Municipio</t>
  </si>
  <si>
    <t>Estadística para las Ciencias Sociales</t>
  </si>
  <si>
    <t>Taller de Tesis I: Protocolo de Investigación</t>
  </si>
  <si>
    <t>MPEM 308</t>
  </si>
  <si>
    <t>Diagnóstico Municipal para la Planeación</t>
  </si>
  <si>
    <t>Ordenamiento Territorial Sostenible</t>
  </si>
  <si>
    <t>Análisis de Información de Campo</t>
  </si>
  <si>
    <t>OPT1 Gestión de proyectos de Innovación Social en el Municipio</t>
  </si>
  <si>
    <t>MSP 109 - PE2026</t>
  </si>
  <si>
    <t>Demografia y salud pública</t>
  </si>
  <si>
    <t>Dra. Maria Dolores Caballero Sánchez*</t>
  </si>
  <si>
    <t>Salud, Sociedad y Derechos Humanos</t>
  </si>
  <si>
    <t>Epidemiología I</t>
  </si>
  <si>
    <t>Bioestadística I</t>
  </si>
  <si>
    <t>Metodología de la Investigación Científica</t>
  </si>
  <si>
    <t>Dra. Araceli Hernández Flores</t>
  </si>
  <si>
    <t>Metodología de la Investigación Cualitativa</t>
  </si>
  <si>
    <t>MSP 309 - PE2016</t>
  </si>
  <si>
    <t>Políticas de Salud</t>
  </si>
  <si>
    <t>Seminario de Investigación</t>
  </si>
  <si>
    <t>Dr. Roberto Ariel Abeldaño Zúñiga</t>
  </si>
  <si>
    <t xml:space="preserve">OPT-Farmacología Regional y Salud Pública
</t>
  </si>
  <si>
    <t xml:space="preserve">OPT-Enfermedades transmitidas por vector
</t>
  </si>
  <si>
    <t>MGE 110 - PE2026</t>
  </si>
  <si>
    <t>Gobierno Electrónico y Administración Pública</t>
  </si>
  <si>
    <t>Derecho Digital y Protección de Datos</t>
  </si>
  <si>
    <t>Interoperabilidad y Privacidad en la Administración Digital</t>
  </si>
  <si>
    <t>Gobernanza Digital y Ética Pública</t>
  </si>
  <si>
    <t>Investigación en Ciencias Sociales</t>
  </si>
  <si>
    <t>Dr. Diego Soto Hernández</t>
  </si>
  <si>
    <t>DGE 111</t>
  </si>
  <si>
    <t>Gestión y Administración Pública Electrónico</t>
  </si>
  <si>
    <t>Sistemas para la Toma de Decisiones en Gobierno Elcetrónico</t>
  </si>
  <si>
    <t>Marco Juridico e Institucional de Gobierno Electrónico</t>
  </si>
  <si>
    <t>Metodologia de la Investigación I</t>
  </si>
  <si>
    <t>DGE 311</t>
  </si>
  <si>
    <t>Finanzas Públicas y Gobierno Electrónico</t>
  </si>
  <si>
    <t>Aplicaciones Web y Móviles para Gobierno Electrónico</t>
  </si>
  <si>
    <t>Gestión de Proyectos Tecnológicos de Gobierno Electrónico</t>
  </si>
  <si>
    <t>Tesis Doctoral I</t>
  </si>
  <si>
    <t>DGE 511</t>
  </si>
  <si>
    <t>Tesis Doctoral III</t>
  </si>
  <si>
    <t>Optativa II Ciudades Inteligentes desde la Perspectiva del Gobierno Electrónico</t>
  </si>
  <si>
    <t>PROFESORES DE DEP</t>
  </si>
  <si>
    <t>Profesor@</t>
  </si>
  <si>
    <t>9-14 Y 16-19</t>
  </si>
  <si>
    <t>LAM</t>
  </si>
  <si>
    <t>Total hrs sem</t>
  </si>
  <si>
    <t>clases por la mañana</t>
  </si>
  <si>
    <t>8-13 Y 16-19</t>
  </si>
  <si>
    <t>clases por la mañana coordinadora de la MSP</t>
  </si>
  <si>
    <t>clases por la mañana coordinador de la MGE</t>
  </si>
  <si>
    <t>clases por la mañana coordinador del DGE</t>
  </si>
  <si>
    <t>clases por la mañana coordinador de la MPEM</t>
  </si>
  <si>
    <t>SEMESTRE</t>
  </si>
  <si>
    <t>GRUPOS</t>
  </si>
  <si>
    <t>GRUPO RECURSION</t>
  </si>
  <si>
    <t>TOTAL GRUPOS</t>
  </si>
  <si>
    <t>TOTAL</t>
  </si>
  <si>
    <t>MPEM</t>
  </si>
  <si>
    <t>MSP</t>
  </si>
  <si>
    <t>MGE</t>
  </si>
  <si>
    <t>DGE</t>
  </si>
  <si>
    <t>TOTAL FINAL=</t>
  </si>
  <si>
    <t>3 POR RECURSION DE UNA MATERIA</t>
  </si>
  <si>
    <t>NOMBRE DEL PROFESOR</t>
  </si>
  <si>
    <t>NOMBRE DE USUARIO</t>
  </si>
  <si>
    <t>Mtra. Dulce Mercedes Cabrera Santiago</t>
  </si>
  <si>
    <t>dulce2020le</t>
  </si>
  <si>
    <t>jose2020le</t>
  </si>
  <si>
    <t>samuel2020le</t>
  </si>
  <si>
    <t>roxana2020le</t>
  </si>
  <si>
    <t>M.T.F. Laura Gabriela López Álvarez</t>
  </si>
  <si>
    <t>laura2020le</t>
  </si>
  <si>
    <t>gerardo2020le</t>
  </si>
  <si>
    <t>L.E. Silvia Mercedes Coca</t>
  </si>
  <si>
    <t>silvia2020le</t>
  </si>
  <si>
    <t>mayra2020le</t>
  </si>
  <si>
    <t>amalia2020le</t>
  </si>
  <si>
    <t>ignacio2020le</t>
  </si>
  <si>
    <t>Med. Enedina Balderas Ruíz</t>
  </si>
  <si>
    <t>enedina2020le</t>
  </si>
  <si>
    <t>Dr. Sergio Alberto Ramírez García</t>
  </si>
  <si>
    <t>sergioa2020ln</t>
  </si>
  <si>
    <t>Dr. Seraid Caynas Rojas</t>
  </si>
  <si>
    <t>seraid2020le</t>
  </si>
  <si>
    <t>M.A. Francisco Ramiro Ordaz Zurita</t>
  </si>
  <si>
    <t>francisco2020le</t>
  </si>
  <si>
    <t>maleni2020le</t>
  </si>
  <si>
    <t>rosell2020le</t>
  </si>
  <si>
    <t>veronica2020le</t>
  </si>
  <si>
    <t>Dra. Roxana Grisel Cásarez Santiago</t>
  </si>
  <si>
    <t>roxanag2020le</t>
  </si>
  <si>
    <t>alejandro2020le</t>
  </si>
  <si>
    <t>Dra. Sabina López Toledo</t>
  </si>
  <si>
    <t>sabina2020ln</t>
  </si>
  <si>
    <t>lisbeth2020le</t>
  </si>
  <si>
    <t>yarely2020le</t>
  </si>
  <si>
    <t>L.E. Carmela Cortez Gonsalez</t>
  </si>
  <si>
    <t>carmela2020le</t>
  </si>
  <si>
    <t>L.E. Eliseo Gabriel Jiménez Cortes</t>
  </si>
  <si>
    <t>eliseog2020le</t>
  </si>
  <si>
    <t>gloriav2020le</t>
  </si>
  <si>
    <t>juanc2020lap</t>
  </si>
  <si>
    <t>diego2020lap</t>
  </si>
  <si>
    <t>enrique2020li</t>
  </si>
  <si>
    <t>lirio2020li</t>
  </si>
  <si>
    <t>aidee2020li</t>
  </si>
  <si>
    <t>eleazar2020lap</t>
  </si>
  <si>
    <t>roberto2020lap</t>
  </si>
  <si>
    <t>margarita2020le</t>
  </si>
  <si>
    <t>DR. Hady Keita</t>
  </si>
  <si>
    <t>hady2020dep</t>
  </si>
  <si>
    <t>josej2020li</t>
  </si>
  <si>
    <t>M.P.D.I. Víctor Hugo Pérez Cruz</t>
  </si>
  <si>
    <t>victorh2020le</t>
  </si>
  <si>
    <t>pedrol2020le</t>
  </si>
  <si>
    <t>DR. Joselito Fernández Tapia</t>
  </si>
  <si>
    <t>joselito2020dep</t>
  </si>
  <si>
    <t>robertoa2020dep</t>
  </si>
  <si>
    <t>adriana2020le</t>
  </si>
  <si>
    <t>amandoa2020li</t>
  </si>
  <si>
    <t>L.C.E. Rosalba Soriano Pacheco</t>
  </si>
  <si>
    <t>rosalba2020</t>
  </si>
  <si>
    <t>jesus2020li</t>
  </si>
  <si>
    <t>mariano2020lce</t>
  </si>
  <si>
    <t>jesusc2020li</t>
  </si>
  <si>
    <t>pablo2020lm</t>
  </si>
  <si>
    <t>nina2020lap</t>
  </si>
  <si>
    <t>joaquinh2020dep</t>
  </si>
  <si>
    <t>deisyc2020dep</t>
  </si>
  <si>
    <t>horacio2020dep</t>
  </si>
  <si>
    <t>M.E.C. Sandra Karina Ramírez Vásquez</t>
  </si>
  <si>
    <t>sandrak2020</t>
  </si>
  <si>
    <t>luis2020le</t>
  </si>
  <si>
    <t>M.R.N. Laura Isabel Hernandez Arzola</t>
  </si>
  <si>
    <t>laura202le</t>
  </si>
  <si>
    <t>cesar2020ln</t>
  </si>
  <si>
    <t>Dr. José Cutberto Hernández Ramírez</t>
  </si>
  <si>
    <t>josec2020ln</t>
  </si>
  <si>
    <t>arturo2020li</t>
  </si>
  <si>
    <t>hadyac2020lce</t>
  </si>
  <si>
    <t>reynam2020lce</t>
  </si>
  <si>
    <t>Dr. Manuel Gerardo Chávez Ángeles</t>
  </si>
  <si>
    <t>manuelg2020lce</t>
  </si>
  <si>
    <t>M.S.P. José Eduardo Orellana Centeno</t>
  </si>
  <si>
    <t>josee2020lo</t>
  </si>
  <si>
    <t>Dr. Melecio Honorio Juárez Pérez</t>
  </si>
  <si>
    <t>melecioh2020lce</t>
  </si>
  <si>
    <t>benito2020lap</t>
  </si>
  <si>
    <t>douglas2020le</t>
  </si>
  <si>
    <t>oswaldo2020li</t>
  </si>
  <si>
    <t>fatimaa2020ln</t>
  </si>
  <si>
    <t>lizethd2020lap</t>
  </si>
  <si>
    <t>Dr. Víctor Alberto Gómez Pérez</t>
  </si>
  <si>
    <t>victoral2020li</t>
  </si>
  <si>
    <t>arisaid2020li</t>
  </si>
  <si>
    <t>monica2020li</t>
  </si>
  <si>
    <t>Dr. Sergio Rafael Coria Olguín</t>
  </si>
  <si>
    <t>sergior2020li</t>
  </si>
  <si>
    <t>jorge2020lce</t>
  </si>
  <si>
    <t>adriang2020lm</t>
  </si>
  <si>
    <t>Méd. Gabriel Rosas González</t>
  </si>
  <si>
    <t>gabriel2020lm</t>
  </si>
  <si>
    <t>Méd. Andrea Luis Reyes</t>
  </si>
  <si>
    <t>andrea2020lm</t>
  </si>
  <si>
    <t>josea2020li</t>
  </si>
  <si>
    <t>Méd. Michelle Jarquín Pacheco</t>
  </si>
  <si>
    <t>michelle2020lm</t>
  </si>
  <si>
    <t>Méd. William Martínez Martínez</t>
  </si>
  <si>
    <t>william2020lm</t>
  </si>
  <si>
    <t>andreai2020lcb</t>
  </si>
  <si>
    <t>oscard2020dep</t>
  </si>
  <si>
    <t>Dra. Adriana González Martínez</t>
  </si>
  <si>
    <t>adriana2020lm</t>
  </si>
  <si>
    <t>veronicag2020le</t>
  </si>
  <si>
    <t>anely2020lm</t>
  </si>
  <si>
    <t>Méd. Andres Aguilar Arroyo</t>
  </si>
  <si>
    <t>andres2020lm</t>
  </si>
  <si>
    <t>Méd. Jesús Antonio Cortes García</t>
  </si>
  <si>
    <t>jesusan2020lm</t>
  </si>
  <si>
    <t>lilian2020lcb</t>
  </si>
  <si>
    <t>abisai2020lcb</t>
  </si>
  <si>
    <t>Méd. Sergio Alejandro Huerta Carbajal</t>
  </si>
  <si>
    <t>sergioal2020lm</t>
  </si>
  <si>
    <t>No</t>
  </si>
  <si>
    <t>M.C.B. Diana Vega Galaviz</t>
  </si>
  <si>
    <t>diana2020lm</t>
  </si>
  <si>
    <t>david2020lm</t>
  </si>
  <si>
    <t>Profesor(a)</t>
  </si>
  <si>
    <t>Méd. Carlos Edwin Leyva Cruz</t>
  </si>
  <si>
    <t>carlose2020lm</t>
  </si>
  <si>
    <t>araceli2020dep</t>
  </si>
  <si>
    <t>silviana2020li</t>
  </si>
  <si>
    <t>Tot gpos</t>
  </si>
  <si>
    <t>joseg2020lm</t>
  </si>
  <si>
    <t>Tot alum</t>
  </si>
  <si>
    <t>Tot hrs sem</t>
  </si>
  <si>
    <t>E.M.D. Eder Garcia Loya</t>
  </si>
  <si>
    <t>Cargo UNSIS</t>
  </si>
  <si>
    <t>eder2020lo</t>
  </si>
  <si>
    <t>Comisión o Asignación del Consejo Académico</t>
  </si>
  <si>
    <t>Comisión de Vice-Rectoría Académica</t>
  </si>
  <si>
    <t>Comisión de Jefatura de Carrera/DEP</t>
  </si>
  <si>
    <t>M.C.E.E.U. Concepción Maritza Jarquín Olivera</t>
  </si>
  <si>
    <t>Comisión de Dirección de Instituto</t>
  </si>
  <si>
    <t>Comisión de Promoción del Desarrollo</t>
  </si>
  <si>
    <t>concepcionm2020le</t>
  </si>
  <si>
    <t>Apoyo en Actividades Extra-Escolares</t>
  </si>
  <si>
    <t>Otra(s) Comisión(es)</t>
  </si>
  <si>
    <t>Producción Científica 2017</t>
  </si>
  <si>
    <t>Producción Científica 2016</t>
  </si>
  <si>
    <t>guadalupec2020lo</t>
  </si>
  <si>
    <t>Colaboración en Convocatorias y Proyectos Institucionales 2016-2017</t>
  </si>
  <si>
    <t>erikar2020lm</t>
  </si>
  <si>
    <t>guadalupei2020lm</t>
  </si>
  <si>
    <t>Dr. Eric Melecio Castro Leal</t>
  </si>
  <si>
    <t>Licenciatura en Odontología</t>
  </si>
  <si>
    <t>ericm2020li</t>
  </si>
  <si>
    <t>Méd. Ludivina Antonia Morales Quiróz</t>
  </si>
  <si>
    <t>ludivinaa2020lm</t>
  </si>
  <si>
    <t>C.D. Olga Lidia Alonso Silva</t>
  </si>
  <si>
    <t>olgal2020lo</t>
  </si>
  <si>
    <t>mauricio2020lo</t>
  </si>
  <si>
    <t>Méd. Rubén Morales Morales</t>
  </si>
  <si>
    <t>ruben2020lm</t>
  </si>
  <si>
    <t>Méd. Ana Cecilia Ortega Delgado</t>
  </si>
  <si>
    <t>anac2020lm</t>
  </si>
  <si>
    <t>Méd. Jorge Alberto Cervantes Reyes</t>
  </si>
  <si>
    <t>jorgea2020lm</t>
  </si>
  <si>
    <t>emanuell2020dep</t>
  </si>
  <si>
    <t>M.C.P Rocío G. Bravo Salazar</t>
  </si>
  <si>
    <t>rociog2020lap</t>
  </si>
  <si>
    <t>Odónt. Mauricio González Osorio</t>
  </si>
  <si>
    <t>rolandoe2020le</t>
  </si>
  <si>
    <t>guadalupeg2020dep</t>
  </si>
  <si>
    <t>arturoc2020dep</t>
  </si>
  <si>
    <t>fabiola2020lce</t>
  </si>
  <si>
    <t>aracelila2020lce</t>
  </si>
  <si>
    <t>ramon2020lce</t>
  </si>
  <si>
    <t>Jefe(a) de Carrera</t>
  </si>
  <si>
    <t>maximoj2020lce</t>
  </si>
  <si>
    <t>Comisión de Becas</t>
  </si>
  <si>
    <t>---</t>
  </si>
  <si>
    <t>M.C. Marco A. Santos Martínez</t>
  </si>
  <si>
    <t>marcoa2020lce</t>
  </si>
  <si>
    <t>Taller de Cine</t>
  </si>
  <si>
    <t>felicitas2020lce</t>
  </si>
  <si>
    <t>PE: Odontología</t>
  </si>
  <si>
    <t>joser2020lap</t>
  </si>
  <si>
    <t>abisai2020lap</t>
  </si>
  <si>
    <t>Mtro. Olaf Montes de Oca Juárez</t>
  </si>
  <si>
    <t>olaf2020ln</t>
  </si>
  <si>
    <t>Mtro. Eric Beljour</t>
  </si>
  <si>
    <t>Mtro. Joann Etienne Olivier Picard</t>
  </si>
  <si>
    <t>joanneo2020lap</t>
  </si>
  <si>
    <t>elsam2020lce</t>
  </si>
  <si>
    <t>Dra. Ruth Ana María González Villoria</t>
  </si>
  <si>
    <t>ruthg2020dep</t>
  </si>
  <si>
    <t>M.N.C. Lizett Medina Brise</t>
  </si>
  <si>
    <t>lizett</t>
  </si>
  <si>
    <t>Dra. Aurea Arellano Cruz</t>
  </si>
  <si>
    <t>aurea2020lam</t>
  </si>
  <si>
    <t>Jornada de Odontologia</t>
  </si>
  <si>
    <t>mauricio2020lap</t>
  </si>
  <si>
    <t>M.S.P. Carlos Jonnathan Castro Juárez</t>
  </si>
  <si>
    <t>carlosj2020ln</t>
  </si>
  <si>
    <t>ericayb2020lcb</t>
  </si>
  <si>
    <t>guilibaldog2020lcb</t>
  </si>
  <si>
    <t>M.C. Horacio Duque Bautista</t>
  </si>
  <si>
    <t>Méd. Diana Cristal Jiménez Mejía</t>
  </si>
  <si>
    <t>horacio2020lm</t>
  </si>
  <si>
    <t>araceli2020ln</t>
  </si>
  <si>
    <t>aurelia2020lce</t>
  </si>
  <si>
    <t>Mtro. Oscar Jesse Rojas Ortíz</t>
  </si>
  <si>
    <t>oscarj2020lam</t>
  </si>
  <si>
    <t>M.G. Gloria Stella Ramirez Ospitia</t>
  </si>
  <si>
    <t>Comisión de Ética</t>
  </si>
  <si>
    <t>glorias2020lam</t>
  </si>
  <si>
    <t>1 artículo</t>
  </si>
  <si>
    <t>omar2020lap</t>
  </si>
  <si>
    <t>M.A. Epifania Sánchez Hernández</t>
  </si>
  <si>
    <t>epifania2020lam</t>
  </si>
  <si>
    <t>Dra. Elizabeth Muñoz Ortiz</t>
  </si>
  <si>
    <t>elizabeth2020le</t>
  </si>
  <si>
    <t>Dra. Luz María García García</t>
  </si>
  <si>
    <t>luza2020lap</t>
  </si>
  <si>
    <t>Dra. Lorena Guadalupe Ramón Canul</t>
  </si>
  <si>
    <t>lorenag2020ln</t>
  </si>
  <si>
    <t>mariag2020dep</t>
  </si>
  <si>
    <t>christiana2020dep</t>
  </si>
  <si>
    <t>pedro2020lce</t>
  </si>
  <si>
    <t>Coordinador(a) de CA</t>
  </si>
  <si>
    <t>oscarc2020li</t>
  </si>
  <si>
    <t>enrique2020lap</t>
  </si>
  <si>
    <t>teresitaj2020li</t>
  </si>
  <si>
    <t>lauraj2020ln</t>
  </si>
  <si>
    <t>mariaa2020dep</t>
  </si>
  <si>
    <t>Dra. Socorro Moyado Flores</t>
  </si>
  <si>
    <t>socorro2020dep</t>
  </si>
  <si>
    <t>rafael2020dep</t>
  </si>
  <si>
    <t>Comisión de Bioseguridad del área de Salud</t>
  </si>
  <si>
    <t>diego2020dep</t>
  </si>
  <si>
    <t>E.A.P. Jorge Carlos Moguel Gamboa</t>
  </si>
  <si>
    <t>jorgec2020lm</t>
  </si>
  <si>
    <t>E.A. Sergio Vázquez Cancino</t>
  </si>
  <si>
    <t>sergio2020lm</t>
  </si>
  <si>
    <t>rosario2020dep</t>
  </si>
  <si>
    <t>zayra2020lce</t>
  </si>
  <si>
    <t>victor2020lce</t>
  </si>
  <si>
    <t>Méd. Luis Ernesto Heredia Santos</t>
  </si>
  <si>
    <t>luise2020lm</t>
  </si>
  <si>
    <t>C.D. MaryJose Burgoa García</t>
  </si>
  <si>
    <t>maryjose2020lo</t>
  </si>
  <si>
    <t>M.C. Óscar Trinidad Galván Valencia</t>
  </si>
  <si>
    <t>oscart2020ln</t>
  </si>
  <si>
    <t>Méd. Heiser Zeus Gallego López</t>
  </si>
  <si>
    <t>heiserj2020lm</t>
  </si>
  <si>
    <t>javier2020lo</t>
  </si>
  <si>
    <t>Licenciatura en Enfermería</t>
  </si>
  <si>
    <t>Méd. Elizabeth Yazmín Reyes Gómez</t>
  </si>
  <si>
    <t>elizabethy2020lm</t>
  </si>
  <si>
    <t>Méd. Yuniza Jocabeth Hernández Morales</t>
  </si>
  <si>
    <t>yunizaj2020lm</t>
  </si>
  <si>
    <t>M.E.S. Adriana Martínez Velasco</t>
  </si>
  <si>
    <t>adriana2020lo</t>
  </si>
  <si>
    <t>Mtra. Gloria Rubí Sánchez Hernández</t>
  </si>
  <si>
    <t>gloriar2020le</t>
  </si>
  <si>
    <t>Q.B. María de Luz Ortega Juárez</t>
  </si>
  <si>
    <t>marial2020le</t>
  </si>
  <si>
    <t>epacheco</t>
  </si>
  <si>
    <t>M.A. Francisco Ordaz Zurita</t>
  </si>
  <si>
    <t>elizabethc2020</t>
  </si>
  <si>
    <t>rolando2020li</t>
  </si>
  <si>
    <t>L.E. Ana Carla Reyes Soriano</t>
  </si>
  <si>
    <t>anac2021le</t>
  </si>
  <si>
    <t>M.C.S. José Isaías Siliceo Murrieta</t>
  </si>
  <si>
    <t>josei2021dep</t>
  </si>
  <si>
    <t>M.A.H. Josué Briones Pili</t>
  </si>
  <si>
    <t>josue2021lm</t>
  </si>
  <si>
    <t>Recursos Humanos</t>
  </si>
  <si>
    <t>Méd. Javier Cerqueda Galindo</t>
  </si>
  <si>
    <t>javier2021lm</t>
  </si>
  <si>
    <t>Méd. Francisco López Cortés</t>
  </si>
  <si>
    <t>francisco2021lm</t>
  </si>
  <si>
    <t>Méd. Perla Andrea Juárez Marín</t>
  </si>
  <si>
    <t>perlaa2021lm</t>
  </si>
  <si>
    <t>Méd. Adriana Matías González</t>
  </si>
  <si>
    <t>adriana2021lm</t>
  </si>
  <si>
    <t>Méd. Antonio de Jesús Aguirre Martínez</t>
  </si>
  <si>
    <t>antonioj2021lm</t>
  </si>
  <si>
    <t>Méd. Elbert Raúl Hernández Carazo</t>
  </si>
  <si>
    <t>elbertr2021lm</t>
  </si>
  <si>
    <t>Méd. Daniel Ivan Hernández Ruíz</t>
  </si>
  <si>
    <t>danieli2021lm</t>
  </si>
  <si>
    <t>C.D. Katia Cecilia Gonzalez Vazquez</t>
  </si>
  <si>
    <t>katiac2021lo</t>
  </si>
  <si>
    <t>M.C. Isaías Rufino Mendoza Martínez</t>
  </si>
  <si>
    <t>isaiasr2021le-umar</t>
  </si>
  <si>
    <t>M. A. H. Annel Hernández Cruz</t>
  </si>
  <si>
    <t>4 articulos</t>
  </si>
  <si>
    <t>annel2021lm</t>
  </si>
  <si>
    <t>Dr. Alberto Manuel Castro García de la Cadena</t>
  </si>
  <si>
    <t>albertom2021lm</t>
  </si>
  <si>
    <t>C.D. Laura Alejandra Mora González</t>
  </si>
  <si>
    <t>lauraa2021lo</t>
  </si>
  <si>
    <t>Mtro. Daniel Robles Torres</t>
  </si>
  <si>
    <t>daniel2021dep</t>
  </si>
  <si>
    <t>C.D. Guadalupe Getsemani Del Río López</t>
  </si>
  <si>
    <t>guadalupeg2021lo</t>
  </si>
  <si>
    <t>Comisión de Servicio Social</t>
  </si>
  <si>
    <t>C. D. Fernando Uriel Canseco Carballido</t>
  </si>
  <si>
    <t>fernandou2021lo</t>
  </si>
  <si>
    <t>1 libro</t>
  </si>
  <si>
    <t>Méd. Josué Xocoyotzin Olaeta Gómez</t>
  </si>
  <si>
    <t>josuex2021lm</t>
  </si>
  <si>
    <t>Méd. Jazbeth Araceli Luis Hernández</t>
  </si>
  <si>
    <t>jazbetha2021lm</t>
  </si>
  <si>
    <t>M.G.P. Daniel Robles Torres</t>
  </si>
  <si>
    <t>M.C. Ericay Berenice Martínez Ramos</t>
  </si>
  <si>
    <t>Méd. Luis Enrique Chablé Nicolás</t>
  </si>
  <si>
    <t>luise2021lm</t>
  </si>
  <si>
    <t>Méd. Carlos Alejandro Ojeda Ramírez</t>
  </si>
  <si>
    <t>carlosa2021lm</t>
  </si>
  <si>
    <t>Méd. Xanic Alcazar Mendoza Pimentel</t>
  </si>
  <si>
    <t>xanic2021lm</t>
  </si>
  <si>
    <t>Méd. Jose Alberto Cruz Garcia</t>
  </si>
  <si>
    <t>josea2021lm</t>
  </si>
  <si>
    <t>Méd. Abraham Dalí Ojeda Ramírez</t>
  </si>
  <si>
    <t>abrahamd2021lm</t>
  </si>
  <si>
    <t>Méd. Carlos Arturo Sánchez Reyes</t>
  </si>
  <si>
    <t>carlosa2022lm</t>
  </si>
  <si>
    <t>Méd. Jorge Valente Hernández Velasco</t>
  </si>
  <si>
    <t>jorgev2022lm</t>
  </si>
  <si>
    <t>Méd. José de Jesús Bohórquez Salinas</t>
  </si>
  <si>
    <t>M.R.N. Laura Isabel Hernández Arzola</t>
  </si>
  <si>
    <t>josej2022lm</t>
  </si>
  <si>
    <t>E.E.Q. Saúl Arreola López</t>
  </si>
  <si>
    <t>saul2022le</t>
  </si>
  <si>
    <t>E.E.U. Rosa Elva Vásquez Fabián</t>
  </si>
  <si>
    <t>rosae2022le</t>
  </si>
  <si>
    <t>M.S.P. Ivan Pimentel Paz</t>
  </si>
  <si>
    <t>ivan2022lo</t>
  </si>
  <si>
    <t>Dra. Diana Milena Torres Cifuentes</t>
  </si>
  <si>
    <t>dianam2022le</t>
  </si>
  <si>
    <t>E.Q. Gloria Juárez Agudo</t>
  </si>
  <si>
    <t>gloria2022le</t>
  </si>
  <si>
    <t>E.M.F. Concepción Julián López</t>
  </si>
  <si>
    <t>concepcion2022lm</t>
  </si>
  <si>
    <t>E.A.P. Diana Cristal Jiménez Mejía</t>
  </si>
  <si>
    <t>L.E. Carmen Gonzalez Cortéz</t>
  </si>
  <si>
    <t>dianac2022lm</t>
  </si>
  <si>
    <t>Méd. Juan Arturo Altamirano Jarquín</t>
  </si>
  <si>
    <t>arturoa2022lm</t>
  </si>
  <si>
    <t>M.A.S.C.G. Royer Pacheco Cruz</t>
  </si>
  <si>
    <t>royer2022ln</t>
  </si>
  <si>
    <t>Comisión de Tutorías</t>
  </si>
  <si>
    <t>maritza2022le</t>
  </si>
  <si>
    <t>Mtra. Tania Lizbeth Hernández Cruz</t>
  </si>
  <si>
    <t>tanial2022le</t>
  </si>
  <si>
    <t>Méd. Ada Selene Pérez Martínez</t>
  </si>
  <si>
    <t>adas2022lm</t>
  </si>
  <si>
    <t>Méd. Ian Enrique Farias Altamirano</t>
  </si>
  <si>
    <t>iane2022lm</t>
  </si>
  <si>
    <t>Psic. Víctor Hugo Pérez Cruz</t>
  </si>
  <si>
    <t>C.D. Raquel Pinacho Pacheco</t>
  </si>
  <si>
    <t>raquel2022lo</t>
  </si>
  <si>
    <t>Méd. Magdiel Omar Vargas Delgado</t>
  </si>
  <si>
    <t>magdielo2022lm</t>
  </si>
  <si>
    <t>Comisión de Profilaxis Mental</t>
  </si>
  <si>
    <t>Méd. Abiel Metzin Luis Bastida</t>
  </si>
  <si>
    <t>abielm2022lm</t>
  </si>
  <si>
    <t>E.M.I. Erick Sánchez Vásquez</t>
  </si>
  <si>
    <t>erick2022lm</t>
  </si>
  <si>
    <t>Méd. Carlos López Álvarez</t>
  </si>
  <si>
    <t>Méd. Enedina Balderas Ruíz</t>
  </si>
  <si>
    <t>carlos2022lm</t>
  </si>
  <si>
    <t>Méd. Luz Pérez Díaz</t>
  </si>
  <si>
    <t>luzp2022lm</t>
  </si>
  <si>
    <t>Méd. Karina Santos Díaz</t>
  </si>
  <si>
    <t>karina2022lm</t>
  </si>
  <si>
    <t>MED. BRENDA DENNIS LEON MORALES</t>
  </si>
  <si>
    <t>brenda2023lm</t>
  </si>
  <si>
    <t>Méd. Emmanuel Zárate Cruz</t>
  </si>
  <si>
    <t>emanuel2023lm</t>
  </si>
  <si>
    <t>Méd. Roxana Yamilé Cortés Pinacho</t>
  </si>
  <si>
    <t>roxanay2023lm</t>
  </si>
  <si>
    <t>Méd. David Eduardo Jiménez Ríos</t>
  </si>
  <si>
    <t>davidj2023lm</t>
  </si>
  <si>
    <t>Méd. Lizbeth Cruz Martínez</t>
  </si>
  <si>
    <t>lizbethc2023lm</t>
  </si>
  <si>
    <t>2 artículos</t>
  </si>
  <si>
    <t>M.S.P. Laura Elena Santiago Ramírez</t>
  </si>
  <si>
    <t>laurae2023le</t>
  </si>
  <si>
    <t>griseldab2023ln</t>
  </si>
  <si>
    <t>M.C.E. Gonzalo José Santos Barrita</t>
  </si>
  <si>
    <t>gonzaloj2023lo</t>
  </si>
  <si>
    <t>Méd. Ivan Ali De la Cruz Morales</t>
  </si>
  <si>
    <t>ivand2023lm</t>
  </si>
  <si>
    <t>Méd. Eduardo Herminio Martínez Nicolás</t>
  </si>
  <si>
    <t>eduardom2023lm</t>
  </si>
  <si>
    <t>Comisión de Planeación (PFCE, PROEXES, PADES)</t>
  </si>
  <si>
    <t>C.D. Adriana Raquel Cruz Garcia</t>
  </si>
  <si>
    <t>Comisión de Titulación</t>
  </si>
  <si>
    <t>adrianacg2023lo</t>
  </si>
  <si>
    <t>M.S.P. Diana Guadalupe Antonio Sánchez</t>
  </si>
  <si>
    <t>dianagas2023ln</t>
  </si>
  <si>
    <t>E.A.E.C. Jose Manuel Juárez Hernández</t>
  </si>
  <si>
    <t>josemjh2023le</t>
  </si>
  <si>
    <t>Dra. Martha Quetzalli Marin Bustamante</t>
  </si>
  <si>
    <t>marthamb2023le</t>
  </si>
  <si>
    <t>Méd. Blanca Rosario Javier Antonio</t>
  </si>
  <si>
    <t>blancar2023lm</t>
  </si>
  <si>
    <t>luis2023lo</t>
  </si>
  <si>
    <t>Comisión de Act. del Plan de Estudios</t>
  </si>
  <si>
    <t>Comité Editorial de la Revista</t>
  </si>
  <si>
    <t>Mtra. Citlalli Cruz López</t>
  </si>
  <si>
    <t>citlalli2023lo</t>
  </si>
  <si>
    <t>alicia2023lap</t>
  </si>
  <si>
    <t>Dr. Jesús Israel Abelleyra Meza</t>
  </si>
  <si>
    <t>jesus2023lm</t>
  </si>
  <si>
    <t>M.N.C.I. Keila Marleny García Reyes</t>
  </si>
  <si>
    <t>keila2023ln</t>
  </si>
  <si>
    <t>Dr. Ricardo Hernández Martínez</t>
  </si>
  <si>
    <t>ricardo2023le</t>
  </si>
  <si>
    <t>E.S.M.P. Dania Velasco Ramirez</t>
  </si>
  <si>
    <t>dania2023le</t>
  </si>
  <si>
    <t>Méd. Bladimir Gabriel Othón Morales</t>
  </si>
  <si>
    <t>bladimir2023lm</t>
  </si>
  <si>
    <t>Méd. Andrea Vásquez Pinelo</t>
  </si>
  <si>
    <t>andrea2023lm</t>
  </si>
  <si>
    <t>C.D. Fidel Edmundo Montaño Santiago</t>
  </si>
  <si>
    <t>fidel2023lo</t>
  </si>
  <si>
    <t>Méd. Xavier Bustamante Jiménez</t>
  </si>
  <si>
    <t>xavier2023lm</t>
  </si>
  <si>
    <t>alejandro2023lm</t>
  </si>
  <si>
    <t>Méd. Débora Mical Almaráz Alonso</t>
  </si>
  <si>
    <t>debora2023lm</t>
  </si>
  <si>
    <t>Mtra. Erica Yesenia Reyes Silva</t>
  </si>
  <si>
    <t>erica2023lam</t>
  </si>
  <si>
    <t>jose2024lm</t>
  </si>
  <si>
    <t>Méd. Alaín Ayrton Chávez Gómez</t>
  </si>
  <si>
    <t>alain2024lm</t>
  </si>
  <si>
    <t>Méd. Jocelyn Itzel Osorio Osorio</t>
  </si>
  <si>
    <t>jocelyn2024lm</t>
  </si>
  <si>
    <t>L.E. Danny López López</t>
  </si>
  <si>
    <t>danny2024le</t>
  </si>
  <si>
    <t>Mtro. Juan Antonio Bustamante Padilla</t>
  </si>
  <si>
    <t>juan2024lce</t>
  </si>
  <si>
    <t>E.E. Azucena Vicente</t>
  </si>
  <si>
    <t>azucena2024le</t>
  </si>
  <si>
    <t>Dra. Adriana López García</t>
  </si>
  <si>
    <t>adriana2023lce</t>
  </si>
  <si>
    <t>claudia2023ln</t>
  </si>
  <si>
    <t>Comisión de Investigación del área de Salud</t>
  </si>
  <si>
    <t>Dr. Víctor Gutiérrez Pacheco</t>
  </si>
  <si>
    <t>victorg2024dep</t>
  </si>
  <si>
    <t>ericr2024ln</t>
  </si>
  <si>
    <t>M.E. Anahí Cruz Gaspar</t>
  </si>
  <si>
    <t>anahic2024ln</t>
  </si>
  <si>
    <t>E.M.F. Maria Karina Mendez Mora</t>
  </si>
  <si>
    <t>mariak2024lm</t>
  </si>
  <si>
    <t>C.D. Jesus Cruz Velazquez</t>
  </si>
  <si>
    <t>jesusc2024lo</t>
  </si>
  <si>
    <t>M.C. Luis Miguel Márquez Váldez</t>
  </si>
  <si>
    <t>Méd. Hannalí Vásquez Bohórques</t>
  </si>
  <si>
    <t>hannali2024lm</t>
  </si>
  <si>
    <t>M.S.P. Bedilia Vásquez Avendaño</t>
  </si>
  <si>
    <t>bedilia2024le</t>
  </si>
  <si>
    <t>M.E. Anahi Cruz Gaspar</t>
  </si>
  <si>
    <t>L.O. Pedro Eleazar Juarez Mejia</t>
  </si>
  <si>
    <t>pedro2024lo</t>
  </si>
  <si>
    <t>L.O. Damary Lopez Reyes</t>
  </si>
  <si>
    <t>damary2024lo</t>
  </si>
  <si>
    <t>M.S.N. Douglas Crittenden Nance</t>
  </si>
  <si>
    <t>Méd. Jasibe Ivette Cruz Vasquez</t>
  </si>
  <si>
    <t>jasibe2024lm</t>
  </si>
  <si>
    <t>Dr. Luis Alberto Sánchez Vargas</t>
  </si>
  <si>
    <t>luis2024le</t>
  </si>
  <si>
    <t>Mtra. Iliana Vasquez Lara</t>
  </si>
  <si>
    <t>iliana2024lcb</t>
  </si>
  <si>
    <t>Comisión de Prácticas</t>
  </si>
  <si>
    <t>Dra. Laura Cruzado Lima</t>
  </si>
  <si>
    <t>laura2024li</t>
  </si>
  <si>
    <t>Mtro. Raúl Misael Cortés Olivera</t>
  </si>
  <si>
    <t>raul2024lcb</t>
  </si>
  <si>
    <t>C.D. Mayra Leticia Quiroz Ortega</t>
  </si>
  <si>
    <t>mayra2024lo</t>
  </si>
  <si>
    <t>karla2024lcb</t>
  </si>
  <si>
    <t>Dr. Audifás Salvador Matus Meza</t>
  </si>
  <si>
    <t>audifas2024le</t>
  </si>
  <si>
    <t>Dr. Luis Roberto Domínguez Díaz</t>
  </si>
  <si>
    <t>luisr2024le</t>
  </si>
  <si>
    <t>Mtro. Irving Ulises Hernández Miguel</t>
  </si>
  <si>
    <t>Taller de Investigación</t>
  </si>
  <si>
    <t>irving2024li</t>
  </si>
  <si>
    <t>L.E. Lázaro Salvador Santiago Canseco</t>
  </si>
  <si>
    <t>lazaro2024le</t>
  </si>
  <si>
    <t>C.D. Brenda Aranza Rodríguez Montes</t>
  </si>
  <si>
    <t>brenda2024lo</t>
  </si>
  <si>
    <t>L.O. Elvira Glafira Juarez Agudo</t>
  </si>
  <si>
    <t>elvira2024lo</t>
  </si>
  <si>
    <t>C.D. Beatriz Jacinto Hernandez</t>
  </si>
  <si>
    <t>beatriz2024lo</t>
  </si>
  <si>
    <t>L.N. Shaden Aldara García Cruz</t>
  </si>
  <si>
    <t>shaden2024ln</t>
  </si>
  <si>
    <t>Dra. Odelinda Acosta Camacho</t>
  </si>
  <si>
    <t>odelinda2024lm</t>
  </si>
  <si>
    <t>dolores2024ln</t>
  </si>
  <si>
    <t>Mtro. Héctor Pedro Almaráz</t>
  </si>
  <si>
    <t>hector2024le</t>
  </si>
  <si>
    <t>L.E. Verónica García Brena</t>
  </si>
  <si>
    <t>teofila2024ln</t>
  </si>
  <si>
    <t>L.O. Tania Madai Jiménez Sánchez</t>
  </si>
  <si>
    <t>tania2024lo</t>
  </si>
  <si>
    <t>L.E. René García Contreras</t>
  </si>
  <si>
    <t>PE: Medicina</t>
  </si>
  <si>
    <t>rene2024lo</t>
  </si>
  <si>
    <t>Méd. Abimael Salinas Vásquez</t>
  </si>
  <si>
    <t>abimael2024lm</t>
  </si>
  <si>
    <t>Dr. Osiris Germán Idelfonso</t>
  </si>
  <si>
    <t>L.E. Adriana Zúñiga Jiménez</t>
  </si>
  <si>
    <t>osiris2025lcb</t>
  </si>
  <si>
    <t>Dra. Astrid Mayleth Rivera Antonio</t>
  </si>
  <si>
    <t>astrid2025lcb</t>
  </si>
  <si>
    <t>Dra. Fabiola López Bautista</t>
  </si>
  <si>
    <t>fabiola2025ln</t>
  </si>
  <si>
    <t>C.D. Amalinalli Baron Zaragoza</t>
  </si>
  <si>
    <t>amalinalli2025lo</t>
  </si>
  <si>
    <t>M.C.C. Eliezer Alcazar Silva</t>
  </si>
  <si>
    <t>eliezer2025li</t>
  </si>
  <si>
    <t>C.D. Luis Bernardo Martinez Martinez</t>
  </si>
  <si>
    <t>luis2025lo</t>
  </si>
  <si>
    <t>Dr. Roberto Ariel Abeldaño Zuñiga</t>
  </si>
  <si>
    <t>claudia2020lcb</t>
  </si>
  <si>
    <t>edgar2025lcb</t>
  </si>
  <si>
    <t>Mtra. Victoria Vera Pineda</t>
  </si>
  <si>
    <t>victoria2025lcb</t>
  </si>
  <si>
    <t>L.E. Rossell Perla Stockett Hernández</t>
  </si>
  <si>
    <t>juanc2025lcb</t>
  </si>
  <si>
    <t>Dra. Rocío Guadalupe Bravo Salazar</t>
  </si>
  <si>
    <t>Méd. Marcos Uriel Cuevas Olivera</t>
  </si>
  <si>
    <t>marcosu2025lm</t>
  </si>
  <si>
    <t>M.C.D.R.T. Monica Leticia Mejia Ramirez</t>
  </si>
  <si>
    <t>monicam2025lce</t>
  </si>
  <si>
    <t>L.E. Jerusha Azucena Bustamante Ramírez</t>
  </si>
  <si>
    <t>jerushab2025le</t>
  </si>
  <si>
    <t>Méd. Salvador Ortíz Hernández</t>
  </si>
  <si>
    <t>yamiley2025lo</t>
  </si>
  <si>
    <t>isabels2025le</t>
  </si>
  <si>
    <t>1 memoria de congreso</t>
  </si>
  <si>
    <t>ameliaj2025le</t>
  </si>
  <si>
    <t>L.O. Abigail Vásquez Martínez</t>
  </si>
  <si>
    <t>abigailm2025lo</t>
  </si>
  <si>
    <t>M.B.E. Diego Sait Cruz Hernandez</t>
  </si>
  <si>
    <t>Méd. Jose  Domínguez Rodas</t>
  </si>
  <si>
    <t>diegoh2025lcb</t>
  </si>
  <si>
    <t>L.O. Zoe Mabel Mendez Cruz</t>
  </si>
  <si>
    <t>zoem2025lo</t>
  </si>
  <si>
    <t>Psic. Odalis Daniela Flores Bustamante</t>
  </si>
  <si>
    <t>odalisd2025ln</t>
  </si>
  <si>
    <t>L.N. Yannick José Ruiz Ramos</t>
  </si>
  <si>
    <t>Comisión de Viajes de Prácticas</t>
  </si>
  <si>
    <t>yannick2025ln</t>
  </si>
  <si>
    <t>L.E. Esdras Almaraz Alonso</t>
  </si>
  <si>
    <t>esdras2025le</t>
  </si>
  <si>
    <t>L.E. José Luis Núñez Castillo</t>
  </si>
  <si>
    <t>Dra. Elizabeth Muñoz Ortíz</t>
  </si>
  <si>
    <t>josen2025le</t>
  </si>
  <si>
    <t>L.E. Said Daniel Canseco González</t>
  </si>
  <si>
    <t>saidg2025le</t>
  </si>
  <si>
    <t>L.E. Christian Martínez Hernández</t>
  </si>
  <si>
    <t>christianm2025le</t>
  </si>
  <si>
    <t>L.E. José Baltazar Ballesteros López</t>
  </si>
  <si>
    <t>joseb2025le</t>
  </si>
  <si>
    <t>L.E. Yazmin Acatlixco Sebastián Ventura</t>
  </si>
  <si>
    <t>yazmina2025le</t>
  </si>
  <si>
    <t>Mtro. Gerardo Roberto Aragón González</t>
  </si>
  <si>
    <t>xochiquetzalli2025lm</t>
  </si>
  <si>
    <t>M.S.P. Diego Ortega Pacheco</t>
  </si>
  <si>
    <t>diegop2025ln</t>
  </si>
  <si>
    <t>jennifer2025lm</t>
  </si>
  <si>
    <t>Méd. Edgar Garcia Casas</t>
  </si>
  <si>
    <t>edgarg2025lm</t>
  </si>
  <si>
    <t>C.D. Jonathan Martinez Cruz</t>
  </si>
  <si>
    <t>jonathanc2025lo</t>
  </si>
  <si>
    <t>L.O. Jocabet Ramirez Garcia</t>
  </si>
  <si>
    <t>jocabetg2025lo</t>
  </si>
  <si>
    <t>Dra. Raitamara Maki</t>
  </si>
  <si>
    <t>maki2026dep</t>
  </si>
  <si>
    <t>E.E. Guadalupe Margaritas Peralta Ramírez</t>
  </si>
  <si>
    <t>guadalupem2026lm</t>
  </si>
  <si>
    <t>Lic. Guillermo Arana Santos</t>
  </si>
  <si>
    <t>M.E. Daniela Alonso Osorio</t>
  </si>
  <si>
    <t>danielao2026le</t>
  </si>
  <si>
    <t>porfiriam2026le</t>
  </si>
  <si>
    <t>E.E.P. Clio del Carmen Jimenez Robledo</t>
  </si>
  <si>
    <t>clio2026le</t>
  </si>
  <si>
    <t>Comisión Legistlación CEIFCRHIS</t>
  </si>
  <si>
    <t xml:space="preserve">M.C. Ruth Monserrat Rodríguez Hernández </t>
  </si>
  <si>
    <t>ruthm2026lcb</t>
  </si>
  <si>
    <t>L.O. Litzi Citlalic Serra Suarez</t>
  </si>
  <si>
    <t>litzic2026lo</t>
  </si>
  <si>
    <t>Méd. Ludivina Antonia Morales Quiroz</t>
  </si>
  <si>
    <t>cesary2026lo</t>
  </si>
  <si>
    <t>Comisión de LEGERÉ</t>
  </si>
  <si>
    <t>L.E. Cristhian Luis Santiago Peralta</t>
  </si>
  <si>
    <t>Méd. Asuzena Santiago Hernández</t>
  </si>
  <si>
    <t>L.E. Yolanda Canseco Jiménez</t>
  </si>
  <si>
    <t>L.E. Maritza  Jarquín Olivera</t>
  </si>
  <si>
    <t>M.A. Verónica Marilú Brena Ramos</t>
  </si>
  <si>
    <t>Mtro. Samuel Sáchez Hernández</t>
  </si>
  <si>
    <t>M.M.S. María Amanda Julieta Tello Bello</t>
  </si>
  <si>
    <t>M.C. Guillibaldo Ordaz Zurita</t>
  </si>
  <si>
    <t>Psic. Gloria Verónica Alba Alba</t>
  </si>
  <si>
    <t>L.E. Hazael Pinacho Cortés</t>
  </si>
  <si>
    <t>Méd. Keiltz Willi Carreño Vásquez</t>
  </si>
  <si>
    <t>1 capítulo de libro</t>
  </si>
  <si>
    <t>PFCE 2016,2017,2018</t>
  </si>
  <si>
    <t>Licenciatura en Nutrición</t>
  </si>
  <si>
    <t>MATERIAS / LICENCIATURAS</t>
  </si>
  <si>
    <t>Seleccione una opción</t>
  </si>
  <si>
    <t>Teoría General de Sistemas</t>
  </si>
  <si>
    <t>5 artículos</t>
  </si>
  <si>
    <t>Histología II</t>
  </si>
  <si>
    <t>Biología Molecular</t>
  </si>
  <si>
    <t>Director(a) de Instituto</t>
  </si>
  <si>
    <t>Actualización PE: Nutrición, CIEES y CEIFRHIS</t>
  </si>
  <si>
    <t>Fisiología II</t>
  </si>
  <si>
    <t>Parasitología y Virología Médica</t>
  </si>
  <si>
    <t>Jefe(a) de la División de Estudios de Posgrado</t>
  </si>
  <si>
    <t>Bases Clínicas para el Diagnóstico</t>
  </si>
  <si>
    <t>Jefe(a) del Centro de Idiomas</t>
  </si>
  <si>
    <t>Cirugía Abdominopélvica</t>
  </si>
  <si>
    <t>3 artículos</t>
  </si>
  <si>
    <t>Coordinador(a) de Promoción del Desarrollo</t>
  </si>
  <si>
    <t>Anatomía y Fisiología Patológica II</t>
  </si>
  <si>
    <t>M.C. Ingrid Monserrat Cardeña Bozziere</t>
  </si>
  <si>
    <t>Director(a) de la Revista</t>
  </si>
  <si>
    <t>Neurología</t>
  </si>
  <si>
    <t>M.C. Lorena Ramón Canul</t>
  </si>
  <si>
    <t>Coordinador(a) de Seminarios</t>
  </si>
  <si>
    <t>M.C. Laura Jocelyn Valdez Gutiérrez</t>
  </si>
  <si>
    <t>Responsable Institucional del PFCE y PRODEP</t>
  </si>
  <si>
    <t>Comisión de CIEES</t>
  </si>
  <si>
    <t>M.N. Lizett Medina Briseño</t>
  </si>
  <si>
    <t>Méd. Carlos Andrés Ramírez Onofre</t>
  </si>
  <si>
    <t>Microbiología y Parasitología </t>
  </si>
  <si>
    <t>M.C. Olaf Montes de Oca Juárez</t>
  </si>
  <si>
    <t>Comisión de Bibliografía</t>
  </si>
  <si>
    <t>Atención Primaria de Salud</t>
  </si>
  <si>
    <t>Urgencias Médico-Dentales</t>
  </si>
  <si>
    <t>Dr. Nemesio Villa Ruano</t>
  </si>
  <si>
    <t>Comisión de Personal Académico</t>
  </si>
  <si>
    <t>6 artículos</t>
  </si>
  <si>
    <t>Comisión de Posgrado</t>
  </si>
  <si>
    <t>M.C. Lizbeth Mota Magaña</t>
  </si>
  <si>
    <t>Administración de Consultorios</t>
  </si>
  <si>
    <t>M.C. Eliut Pérez Sánchez</t>
  </si>
  <si>
    <t>M.C. Aracelí Meneses Corona</t>
  </si>
  <si>
    <t>Comisión de Ética e Inv. de la Clínica Universitaria</t>
  </si>
  <si>
    <t>Comisión de CENEVAL</t>
  </si>
  <si>
    <t>Comisión de OTAF</t>
  </si>
  <si>
    <t>Comisión del Fondo de Ahorro</t>
  </si>
  <si>
    <t>Licenciatura en Ciencias Empresariales</t>
  </si>
  <si>
    <t>Comisión de Finanzas</t>
  </si>
  <si>
    <t>Comité de Adquisiciones, Arrendamientos y Servicios</t>
  </si>
  <si>
    <t>Comisión Mixta de Cap., Adiest. y Product. de la UNSIS</t>
  </si>
  <si>
    <t>Comisión de Seguridad e Higiene de la UNSIS</t>
  </si>
  <si>
    <t>Coordinación Libro</t>
  </si>
  <si>
    <t>M.F. Araceli Luz A. Rodríguez Martínez</t>
  </si>
  <si>
    <t>Comisión de Revisión Proyectos PEF</t>
  </si>
  <si>
    <t>Comité de Eval. de los Alim. de la Cafetería de la UNSIS</t>
  </si>
  <si>
    <t>Organización de la Jornada Académica</t>
  </si>
  <si>
    <t>Comité de Obras</t>
  </si>
  <si>
    <t>M.Est.Org. Mariano Olvera Ramírez</t>
  </si>
  <si>
    <t>Comisión de Reglamentos</t>
  </si>
  <si>
    <t>Lic. Zayra Trujillo Baéz</t>
  </si>
  <si>
    <t>PROEXES y ENACTUS</t>
  </si>
  <si>
    <t>1 libro, 1 artículo</t>
  </si>
  <si>
    <t>M.C.D.T.R. Victor Santiago Sarmiento</t>
  </si>
  <si>
    <t>PFCE</t>
  </si>
  <si>
    <t>Licenciatura en Informática</t>
  </si>
  <si>
    <t>Comisión de Seguimiento a Egresados</t>
  </si>
  <si>
    <t>Taller de Lectura</t>
  </si>
  <si>
    <t>Trayectorias Escolares</t>
  </si>
  <si>
    <t>1 libro, 1 capítulo de libro</t>
  </si>
  <si>
    <t>M.C. Lirio Ruíz Guerra</t>
  </si>
  <si>
    <t>Representante Institucional CONRICyT</t>
  </si>
  <si>
    <t>M.T.I. Oswaldo Rey Ávila Barrón</t>
  </si>
  <si>
    <t>Comisión del Congreso</t>
  </si>
  <si>
    <t>Coord. del Curso de Comp. p/niños de Educ. Bás.</t>
  </si>
  <si>
    <t>M.C. Oscar Cuauhtémoc Esperanza Contreras</t>
  </si>
  <si>
    <t>M.C. Silviana Juárez Chalini</t>
  </si>
  <si>
    <t>CIEES: LI,</t>
  </si>
  <si>
    <t>M.C. Eric Melecio Castro Leal</t>
  </si>
  <si>
    <t>M.C. Rolando Pedro Gabriel</t>
  </si>
  <si>
    <t>Taller de Act. Dep.</t>
  </si>
  <si>
    <t>Comisón de bibliografía</t>
  </si>
  <si>
    <t>M.C. José Alberto Cruz Tolentino</t>
  </si>
  <si>
    <t>M.C. Alejandro Jarillo Silva</t>
  </si>
  <si>
    <t>1 capítulo de libro, 2 artículos</t>
  </si>
  <si>
    <t>M.C. Jesús Pacheco Mendoza</t>
  </si>
  <si>
    <t>Taller de Ajedrez</t>
  </si>
  <si>
    <t>Licenciatura en Administración Pública</t>
  </si>
  <si>
    <t>Taller de Oratoria</t>
  </si>
  <si>
    <t>M.E.M. Alicia Martínez Cruz</t>
  </si>
  <si>
    <t>PFCE, PIEE</t>
  </si>
  <si>
    <t>M.D.M. Nina Martínez Cruz</t>
  </si>
  <si>
    <t>1 capítulo de libro, 1 artículo</t>
  </si>
  <si>
    <t>M.A.I.A  Abisaí Aragón Cruz</t>
  </si>
  <si>
    <t>Apoyar en la organización de la Jornada</t>
  </si>
  <si>
    <t>Organizar el viaje de prácticas</t>
  </si>
  <si>
    <t>M.D.R. Lizeth Daniza Gómez Hernández</t>
  </si>
  <si>
    <t>3 capítulos de libro</t>
  </si>
  <si>
    <t>M.D.R. Luz María García García</t>
  </si>
  <si>
    <t>Licenciatura en Administración Muncipal</t>
  </si>
  <si>
    <t>2 capítulos de libro</t>
  </si>
  <si>
    <t>Organizador de la Jornada Académica /Será a coordinadora del cuerpo académico a partir de marzo de 2018</t>
  </si>
  <si>
    <t>Organización de Exporienta y Curso de Formación Integral Docente</t>
  </si>
  <si>
    <t>Estudio Factibilidad: LM</t>
  </si>
  <si>
    <t>M.D.I. Oscar Jesse Rojas Ortíz</t>
  </si>
  <si>
    <t>Organizador de la Jornada Académica</t>
  </si>
  <si>
    <t>M.F. Aurea Arellano Cruz</t>
  </si>
  <si>
    <t>M.I.E. Oscar V. López Hernández</t>
  </si>
  <si>
    <t>SEMESTRE / CARRERA</t>
  </si>
  <si>
    <t>M.C. Elsa A. Mendoza Cortés</t>
  </si>
  <si>
    <t>M.G.P. Eleazar Brena García</t>
  </si>
  <si>
    <t>2o</t>
  </si>
  <si>
    <t>División de Estudios de Posgrado</t>
  </si>
  <si>
    <t>4o</t>
  </si>
  <si>
    <t>PE: DGE</t>
  </si>
  <si>
    <t>M.C.S José Isaías Siliceo Murrieta</t>
  </si>
  <si>
    <t>* Coordinación de la Maestría en Salud Pública
* Comisión de Bioseguridad del área de Salud</t>
  </si>
  <si>
    <t>1 capítulo de libro, 1 memoria de congreso</t>
  </si>
  <si>
    <t>6o</t>
  </si>
  <si>
    <t>8o</t>
  </si>
  <si>
    <t>10o</t>
  </si>
  <si>
    <t>* Coordinación de la Maestría en Gobierno Electrónico
* Comisión de Ética
* Comisión de Reglamentos</t>
  </si>
  <si>
    <t>2 artículos, 1 memoria de congreso</t>
  </si>
  <si>
    <t>Coordinación de la Maestría en Planeación Estratégica Municipal</t>
  </si>
  <si>
    <t>* Comité Editorial de la Revista Administración y Salud
* Comisión de Contraloría Social (PRODEP)</t>
  </si>
  <si>
    <t>2 artículo, 3 memorias de congreso</t>
  </si>
  <si>
    <t>Coordinación del Doctorado en Gobierno Electrónico</t>
  </si>
  <si>
    <t>Dr. Guillermo Alfonso de la Torre Gea</t>
  </si>
  <si>
    <t>Dr. Juan Roberto Joel Flores Avendaño</t>
  </si>
  <si>
    <t>Dr. Joaquín Huitzilihutl Camacho Vera</t>
  </si>
  <si>
    <t>M.C.S. Maria Guadalupe Temores Alcántara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</si>
</sst>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MM/DD/YY"/>
    <numFmt numFmtId="166" formatCode="MM/DD/YYYY"/>
    <numFmt numFmtId="167" formatCode="MMMM\ YYYY"/>
    <numFmt numFmtId="168" formatCode="d mmmm yyyy"/>
    <numFmt numFmtId="169" formatCode="d mmm yyyy"/>
    <numFmt numFmtId="170" formatCode="D\-M"/>
  </numFmts>
  <fonts count="53">
    <font>
      <sz val="11.0"/>
      <color rgb="FF000000"/>
      <name val="Calibri"/>
      <scheme val="minor"/>
    </font>
    <font>
      <b/>
      <color rgb="FF7030A0"/>
      <name val="Montserrat"/>
    </font>
    <font>
      <b/>
      <sz val="12.0"/>
      <color rgb="FF000000"/>
      <name val="Montserrat"/>
    </font>
    <font>
      <sz val="10.0"/>
      <color theme="1"/>
      <name val="Montserrat"/>
    </font>
    <font/>
    <font>
      <sz val="11.0"/>
      <color rgb="FF000000"/>
      <name val="Montserrat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Montserrat"/>
    </font>
    <font>
      <sz val="8.0"/>
      <color rgb="FF000000"/>
      <name val="Montserrat"/>
    </font>
    <font>
      <b/>
      <sz val="10.0"/>
      <color rgb="FF000000"/>
      <name val="Montserrat"/>
    </font>
    <font>
      <sz val="10.0"/>
      <color rgb="FF000000"/>
      <name val="Calibri"/>
    </font>
    <font>
      <sz val="8.0"/>
      <color rgb="FF000000"/>
      <name val="Calibri"/>
    </font>
    <font>
      <b/>
      <sz val="11.0"/>
      <color rgb="FF333333"/>
      <name val="Calibri"/>
    </font>
    <font>
      <color theme="1"/>
      <name val="Montserrat"/>
    </font>
    <font>
      <sz val="8.0"/>
      <color rgb="FFFF0000"/>
      <name val="Calibri"/>
    </font>
    <font>
      <sz val="7.0"/>
      <color rgb="FF000000"/>
      <name val="Montserrat"/>
    </font>
    <font>
      <color rgb="FF000000"/>
      <name val="Montserrat"/>
    </font>
    <font>
      <sz val="10.0"/>
      <color theme="1"/>
      <name val="Calibri"/>
    </font>
    <font>
      <b/>
      <sz val="11.0"/>
      <color rgb="FF7030A0"/>
      <name val="Montserrat"/>
    </font>
    <font>
      <color rgb="FFFF0000"/>
      <name val="Montserrat"/>
    </font>
    <font>
      <b/>
      <sz val="10.0"/>
      <color theme="1"/>
      <name val="Calibri"/>
    </font>
    <font>
      <b/>
      <color theme="1"/>
      <name val="Montserrat"/>
    </font>
    <font>
      <sz val="11.0"/>
      <color theme="1"/>
      <name val="Montserrat"/>
    </font>
    <font>
      <color theme="1"/>
      <name val="Calibri"/>
    </font>
    <font>
      <color rgb="FFC9211E"/>
      <name val="Montserrat"/>
    </font>
    <font>
      <b/>
      <sz val="10.0"/>
      <color rgb="FF7030A0"/>
      <name val="Montserrat"/>
    </font>
    <font>
      <b/>
      <sz val="11.0"/>
      <color rgb="FF333333"/>
      <name val="Montserrat"/>
    </font>
    <font>
      <color theme="1"/>
      <name val="Calibri"/>
      <scheme val="minor"/>
    </font>
    <font>
      <sz val="10.0"/>
      <color rgb="FFC9211E"/>
      <name val="Montserrat"/>
    </font>
    <font>
      <b/>
      <sz val="10.0"/>
      <color theme="1"/>
      <name val="Montserrat"/>
    </font>
    <font>
      <color rgb="FF000000"/>
      <name val="Calibri"/>
      <scheme val="minor"/>
    </font>
    <font>
      <sz val="10.0"/>
      <color rgb="FFFF0000"/>
      <name val="Montserrat"/>
    </font>
    <font>
      <sz val="11.0"/>
      <color rgb="FF333333"/>
      <name val="Calibri"/>
    </font>
    <font>
      <sz val="10.0"/>
      <color rgb="FFCE181E"/>
      <name val="Montserrat"/>
    </font>
    <font>
      <color rgb="FF000000"/>
      <name val="Calibri"/>
    </font>
    <font>
      <b/>
      <sz val="10.0"/>
      <color rgb="FF333333"/>
      <name val="Montserrat"/>
    </font>
    <font>
      <color rgb="FFFF0000"/>
      <name val="Calibri"/>
      <scheme val="minor"/>
    </font>
    <font>
      <sz val="9.0"/>
      <color theme="1"/>
      <name val="Montserrat"/>
    </font>
    <font>
      <color rgb="FFCE181E"/>
      <name val="Montserrat"/>
    </font>
    <font>
      <b/>
      <color rgb="FF674EA7"/>
      <name val="Montserrat"/>
    </font>
    <font>
      <b/>
      <sz val="11.0"/>
      <color rgb="FF000000"/>
      <name val="Montserrat"/>
    </font>
    <font>
      <sz val="9.0"/>
      <color theme="1"/>
      <name val="Roboto Mono"/>
    </font>
    <font>
      <b/>
      <sz val="11.0"/>
      <color rgb="FF000000"/>
      <name val="Calibri"/>
    </font>
    <font>
      <sz val="14.0"/>
      <color rgb="FF000000"/>
      <name val="Calibri"/>
    </font>
    <font>
      <i/>
      <sz val="11.0"/>
      <color rgb="FF000000"/>
      <name val="Calibri"/>
    </font>
    <font>
      <b/>
      <sz val="10.0"/>
      <color rgb="FF000000"/>
      <name val="Book Antiqua"/>
    </font>
    <font>
      <b/>
      <sz val="11.0"/>
      <color rgb="FF000000"/>
      <name val="Book Antiqua"/>
    </font>
    <font>
      <b/>
      <sz val="9.0"/>
      <color rgb="FF000000"/>
      <name val="Book Antiqua"/>
    </font>
    <font>
      <sz val="11.0"/>
      <color rgb="FF000000"/>
      <name val="Arial Narrow"/>
    </font>
    <font>
      <b/>
      <sz val="14.0"/>
      <color rgb="FF000000"/>
      <name val="Calibri"/>
    </font>
    <font>
      <sz val="12.0"/>
      <color rgb="FF000000"/>
      <name val="Calibri"/>
    </font>
    <font>
      <sz val="11.0"/>
      <color rgb="FFFF0000"/>
      <name val="Arial Narrow"/>
    </font>
  </fonts>
  <fills count="2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75EBD9"/>
        <bgColor rgb="FF75EBD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B4C7DC"/>
        <bgColor rgb="FFB4C7DC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0"/>
    </xf>
    <xf borderId="0" fillId="0" fontId="3" numFmtId="0" xfId="0" applyFont="1"/>
    <xf borderId="0" fillId="0" fontId="11" numFmtId="0" xfId="0" applyAlignment="1" applyFont="1">
      <alignment shrinkToFit="0" vertical="center" wrapText="1"/>
    </xf>
    <xf borderId="0" fillId="0" fontId="7" numFmtId="0" xfId="0" applyFont="1"/>
    <xf borderId="0" fillId="0" fontId="12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0" fontId="13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vertical="bottom"/>
    </xf>
    <xf borderId="4" fillId="0" fontId="10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13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shrinkToFit="0" wrapText="1"/>
    </xf>
    <xf borderId="4" fillId="0" fontId="8" numFmtId="0" xfId="0" applyAlignment="1" applyBorder="1" applyFont="1">
      <alignment shrinkToFit="0" vertical="bottom" wrapText="0"/>
    </xf>
    <xf borderId="4" fillId="0" fontId="7" numFmtId="0" xfId="0" applyBorder="1" applyFont="1"/>
    <xf borderId="0" fillId="0" fontId="1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4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vertical="bottom" wrapText="1"/>
    </xf>
    <xf borderId="0" fillId="0" fontId="14" numFmtId="0" xfId="0" applyAlignment="1" applyFont="1">
      <alignment shrinkToFit="0" vertical="bottom" wrapText="1"/>
    </xf>
    <xf borderId="0" fillId="0" fontId="16" numFmtId="0" xfId="0" applyAlignment="1" applyFont="1">
      <alignment horizontal="left" readingOrder="0"/>
    </xf>
    <xf borderId="0" fillId="0" fontId="14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7" numFmtId="0" xfId="0" applyAlignment="1" applyFont="1">
      <alignment horizontal="center" readingOrder="0" vertical="bottom"/>
    </xf>
    <xf borderId="0" fillId="0" fontId="14" numFmtId="0" xfId="0" applyAlignment="1" applyFont="1">
      <alignment shrinkToFit="0" vertical="bottom" wrapText="1"/>
    </xf>
    <xf borderId="0" fillId="0" fontId="17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left" shrinkToFit="0" vertical="bottom" wrapText="0"/>
    </xf>
    <xf borderId="4" fillId="0" fontId="7" numFmtId="0" xfId="0" applyAlignment="1" applyBorder="1" applyFont="1">
      <alignment horizontal="left" vertical="bottom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1"/>
    </xf>
    <xf borderId="0" fillId="0" fontId="18" numFmtId="0" xfId="0" applyAlignment="1" applyFont="1">
      <alignment vertical="bottom"/>
    </xf>
    <xf borderId="4" fillId="0" fontId="18" numFmtId="0" xfId="0" applyAlignment="1" applyBorder="1" applyFont="1">
      <alignment vertical="bottom"/>
    </xf>
    <xf borderId="0" fillId="3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0" fillId="0" fontId="19" numFmtId="0" xfId="0" applyAlignment="1" applyFont="1">
      <alignment vertical="bottom"/>
    </xf>
    <xf borderId="0" fillId="4" fontId="20" numFmtId="0" xfId="0" applyAlignment="1" applyFill="1" applyFont="1">
      <alignment readingOrder="0" shrinkToFit="0" vertical="bottom" wrapText="1"/>
    </xf>
    <xf borderId="4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4" fillId="0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1"/>
    </xf>
    <xf borderId="0" fillId="0" fontId="1" numFmtId="0" xfId="0" applyAlignment="1" applyFont="1">
      <alignment horizontal="left" vertical="bottom"/>
    </xf>
    <xf borderId="4" fillId="0" fontId="10" numFmtId="0" xfId="0" applyAlignment="1" applyBorder="1" applyFont="1">
      <alignment horizontal="left" shrinkToFit="0" vertical="bottom" wrapText="0"/>
    </xf>
    <xf borderId="4" fillId="5" fontId="10" numFmtId="0" xfId="0" applyAlignment="1" applyBorder="1" applyFill="1" applyFont="1">
      <alignment horizontal="left" readingOrder="0" shrinkToFit="0" vertical="bottom" wrapText="0"/>
    </xf>
    <xf borderId="0" fillId="6" fontId="14" numFmtId="0" xfId="0" applyAlignment="1" applyFill="1" applyFont="1">
      <alignment shrinkToFit="0" vertical="bottom" wrapText="1"/>
    </xf>
    <xf borderId="0" fillId="0" fontId="14" numFmtId="0" xfId="0" applyAlignment="1" applyFont="1">
      <alignment readingOrder="0" vertical="bottom"/>
    </xf>
    <xf borderId="0" fillId="0" fontId="1" numFmtId="0" xfId="0" applyAlignment="1" applyFont="1">
      <alignment horizontal="left" shrinkToFit="0" vertical="bottom" wrapText="1"/>
    </xf>
    <xf borderId="0" fillId="0" fontId="11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21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7" fontId="14" numFmtId="0" xfId="0" applyAlignment="1" applyFill="1" applyFont="1">
      <alignment shrinkToFit="0" vertical="bottom" wrapText="1"/>
    </xf>
    <xf borderId="0" fillId="7" fontId="14" numFmtId="0" xfId="0" applyAlignment="1" applyFill="1" applyFont="1">
      <alignment horizontal="left" shrinkToFit="0" vertical="bottom" wrapText="1"/>
    </xf>
    <xf borderId="0" fillId="6" fontId="14" numFmtId="0" xfId="0" applyAlignment="1" applyFill="1" applyFont="1">
      <alignment horizontal="left" shrinkToFit="0" vertical="bottom" wrapText="1"/>
    </xf>
    <xf borderId="0" fillId="0" fontId="10" numFmtId="0" xfId="0" applyAlignment="1" applyFont="1">
      <alignment horizontal="left" shrinkToFit="0" vertical="bottom" wrapText="0"/>
    </xf>
    <xf borderId="4" fillId="6" fontId="10" numFmtId="0" xfId="0" applyAlignment="1" applyBorder="1" applyFill="1" applyFont="1">
      <alignment horizontal="left" readingOrder="0" shrinkToFit="0" vertical="bottom" wrapText="0"/>
    </xf>
    <xf borderId="0" fillId="0" fontId="13" numFmtId="0" xfId="0" applyAlignment="1" applyFont="1">
      <alignment readingOrder="0" shrinkToFit="0" vertical="bottom" wrapText="1"/>
    </xf>
    <xf borderId="0" fillId="8" fontId="14" numFmtId="0" xfId="0" applyAlignment="1" applyFill="1" applyFont="1">
      <alignment horizontal="left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4" fillId="0" fontId="7" numFmtId="0" xfId="0" applyAlignment="1" applyBorder="1" applyFont="1">
      <alignment vertical="bottom"/>
    </xf>
    <xf borderId="0" fillId="0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18" numFmtId="0" xfId="0" applyFont="1"/>
    <xf borderId="0" fillId="0" fontId="7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22" numFmtId="0" xfId="0" applyAlignment="1" applyFont="1">
      <alignment horizontal="center" vertical="bottom"/>
    </xf>
    <xf borderId="0" fillId="0" fontId="8" numFmtId="0" xfId="0" applyAlignment="1" applyFont="1">
      <alignment horizontal="center" shrinkToFit="0" vertical="center" wrapText="1"/>
    </xf>
    <xf borderId="0" fillId="0" fontId="23" numFmtId="0" xfId="0" applyAlignment="1" applyFont="1">
      <alignment readingOrder="0" vertical="bottom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vertical="bottom"/>
    </xf>
    <xf borderId="0" fillId="6" fontId="3" numFmtId="0" xfId="0" applyAlignment="1" applyFill="1" applyFont="1">
      <alignment readingOrder="0" vertical="bottom"/>
    </xf>
    <xf borderId="4" fillId="0" fontId="18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left" vertical="bottom"/>
    </xf>
    <xf borderId="0" fillId="0" fontId="23" numFmtId="0" xfId="0" applyAlignment="1" applyFont="1">
      <alignment vertical="bottom"/>
    </xf>
    <xf borderId="4" fillId="0" fontId="1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right" shrinkToFit="0" vertical="bottom" wrapText="0"/>
    </xf>
    <xf borderId="0" fillId="0" fontId="1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horizontal="left"/>
    </xf>
    <xf borderId="4" fillId="0" fontId="18" numFmtId="0" xfId="0" applyAlignment="1" applyBorder="1" applyFont="1">
      <alignment horizontal="left" vertical="bottom"/>
    </xf>
    <xf borderId="0" fillId="0" fontId="24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7" numFmtId="0" xfId="0" applyAlignment="1" applyFont="1">
      <alignment horizontal="left" vertical="bottom"/>
    </xf>
    <xf borderId="4" fillId="0" fontId="7" numFmtId="0" xfId="0" applyAlignment="1" applyBorder="1" applyFont="1">
      <alignment horizontal="left" vertical="bottom"/>
    </xf>
    <xf borderId="0" fillId="3" fontId="1" numFmtId="0" xfId="0" applyAlignment="1" applyFill="1" applyFont="1">
      <alignment vertical="bottom"/>
    </xf>
    <xf borderId="0" fillId="5" fontId="24" numFmtId="0" xfId="0" applyAlignment="1" applyFill="1" applyFont="1">
      <alignment vertical="bottom"/>
    </xf>
    <xf borderId="0" fillId="3" fontId="14" numFmtId="0" xfId="0" applyAlignment="1" applyFill="1" applyFont="1">
      <alignment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right" vertical="bottom"/>
    </xf>
    <xf borderId="0" fillId="0" fontId="13" numFmtId="0" xfId="0" applyAlignment="1" applyFont="1">
      <alignment horizontal="left" shrinkToFit="0" vertical="bottom" wrapText="1"/>
    </xf>
    <xf borderId="0" fillId="0" fontId="14" numFmtId="0" xfId="0" applyFont="1"/>
    <xf borderId="0" fillId="0" fontId="25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0" fillId="0" fontId="14" numFmtId="0" xfId="0" applyAlignment="1" applyFont="1">
      <alignment horizontal="center" vertical="bottom"/>
    </xf>
    <xf borderId="0" fillId="0" fontId="9" numFmtId="0" xfId="0" applyAlignment="1" applyFont="1">
      <alignment shrinkToFit="0" vertical="center" wrapText="0"/>
    </xf>
    <xf borderId="0" fillId="0" fontId="14" numFmtId="0" xfId="0" applyAlignment="1" applyFont="1">
      <alignment vertical="bottom"/>
    </xf>
    <xf borderId="0" fillId="5" fontId="7" numFmtId="0" xfId="0" applyAlignment="1" applyFill="1" applyFont="1">
      <alignment vertical="bottom"/>
    </xf>
    <xf borderId="4" fillId="0" fontId="10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10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vertical="bottom"/>
    </xf>
    <xf borderId="0" fillId="0" fontId="8" numFmtId="164" xfId="0" applyAlignment="1" applyFont="1" applyNumberFormat="1">
      <alignment readingOrder="0" shrinkToFit="0" vertical="bottom" wrapText="0"/>
    </xf>
    <xf borderId="0" fillId="5" fontId="23" numFmtId="0" xfId="0" applyAlignment="1" applyFill="1" applyFont="1">
      <alignment shrinkToFit="0" vertical="bottom" wrapText="1"/>
    </xf>
    <xf borderId="0" fillId="0" fontId="2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5" fontId="7" numFmtId="0" xfId="0" applyAlignment="1" applyFill="1" applyFont="1">
      <alignment vertical="bottom"/>
    </xf>
    <xf borderId="0" fillId="5" fontId="23" numFmtId="0" xfId="0" applyAlignment="1" applyFill="1" applyFont="1">
      <alignment vertical="bottom"/>
    </xf>
    <xf borderId="0" fillId="5" fontId="23" numFmtId="0" xfId="0" applyAlignment="1" applyFill="1" applyFont="1">
      <alignment vertical="bottom"/>
    </xf>
    <xf borderId="0" fillId="0" fontId="7" numFmtId="165" xfId="0" applyAlignment="1" applyFont="1" applyNumberFormat="1">
      <alignment vertical="bottom"/>
    </xf>
    <xf borderId="0" fillId="0" fontId="7" numFmtId="166" xfId="0" applyAlignment="1" applyFont="1" applyNumberFormat="1">
      <alignment vertical="bottom"/>
    </xf>
    <xf borderId="0" fillId="0" fontId="28" numFmtId="0" xfId="0" applyAlignment="1" applyFont="1">
      <alignment readingOrder="0"/>
    </xf>
    <xf borderId="0" fillId="0" fontId="20" numFmtId="0" xfId="0" applyAlignment="1" applyFont="1">
      <alignment shrinkToFit="0" vertical="bottom" wrapText="1"/>
    </xf>
    <xf borderId="0" fillId="0" fontId="7" numFmtId="166" xfId="0" applyFont="1" applyNumberFormat="1"/>
    <xf borderId="0" fillId="0" fontId="7" numFmtId="0" xfId="0" applyAlignment="1" applyFont="1">
      <alignment readingOrder="0" vertical="bottom"/>
    </xf>
    <xf borderId="0" fillId="0" fontId="20" numFmtId="0" xfId="0" applyAlignment="1" applyFont="1">
      <alignment shrinkToFit="0" vertical="bottom" wrapText="1"/>
    </xf>
    <xf borderId="0" fillId="0" fontId="29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0" fillId="9" fontId="10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4" fillId="9" fontId="13" numFmtId="0" xfId="0" applyAlignment="1" applyBorder="1" applyFill="1" applyFont="1">
      <alignment readingOrder="0" vertical="bottom"/>
    </xf>
    <xf borderId="4" fillId="0" fontId="7" numFmtId="0" xfId="0" applyAlignment="1" applyBorder="1" applyFont="1">
      <alignment horizontal="center" vertical="bottom"/>
    </xf>
    <xf borderId="4" fillId="9" fontId="7" numFmtId="0" xfId="0" applyAlignment="1" applyBorder="1" applyFill="1" applyFont="1">
      <alignment vertical="bottom"/>
    </xf>
    <xf borderId="4" fillId="0" fontId="13" numFmtId="0" xfId="0" applyAlignment="1" applyBorder="1" applyFont="1">
      <alignment horizontal="left" readingOrder="0" vertical="bottom"/>
    </xf>
    <xf borderId="0" fillId="9" fontId="14" numFmtId="0" xfId="0" applyAlignment="1" applyFill="1" applyFont="1">
      <alignment horizontal="center" shrinkToFit="0" wrapText="1"/>
    </xf>
    <xf borderId="0" fillId="0" fontId="14" numFmtId="0" xfId="0" applyAlignment="1" applyFont="1">
      <alignment horizontal="center" shrinkToFit="0" vertical="bottom" wrapText="1"/>
    </xf>
    <xf borderId="0" fillId="0" fontId="14" numFmtId="0" xfId="0" applyAlignment="1" applyFont="1">
      <alignment shrinkToFit="0" wrapText="0"/>
    </xf>
    <xf borderId="0" fillId="10" fontId="14" numFmtId="0" xfId="0" applyAlignment="1" applyFill="1" applyFont="1">
      <alignment shrinkToFit="0" vertical="bottom" wrapText="1"/>
    </xf>
    <xf borderId="0" fillId="9" fontId="14" numFmtId="0" xfId="0" applyAlignment="1" applyFill="1" applyFont="1">
      <alignment horizontal="center" readingOrder="0" shrinkToFit="0" wrapText="1"/>
    </xf>
    <xf borderId="0" fillId="0" fontId="28" numFmtId="0" xfId="0" applyAlignment="1" applyFont="1">
      <alignment horizontal="left" readingOrder="0"/>
    </xf>
    <xf borderId="0" fillId="11" fontId="14" numFmtId="0" xfId="0" applyAlignment="1" applyFill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vertical="bottom" wrapText="1"/>
    </xf>
    <xf borderId="6" fillId="0" fontId="31" numFmtId="0" xfId="0" applyAlignment="1" applyBorder="1" applyFont="1">
      <alignment horizontal="left" readingOrder="0" vertical="bottom"/>
    </xf>
    <xf borderId="0" fillId="9" fontId="7" numFmtId="0" xfId="0" applyAlignment="1" applyFill="1" applyFont="1">
      <alignment vertical="bottom"/>
    </xf>
    <xf borderId="0" fillId="0" fontId="28" numFmtId="0" xfId="0" applyAlignment="1" applyFont="1">
      <alignment horizontal="left"/>
    </xf>
    <xf borderId="0" fillId="0" fontId="13" numFmtId="0" xfId="0" applyAlignment="1" applyFont="1">
      <alignment vertical="bottom"/>
    </xf>
    <xf borderId="0" fillId="0" fontId="23" numFmtId="0" xfId="0" applyAlignment="1" applyFont="1">
      <alignment shrinkToFit="0" vertical="bottom" wrapText="1"/>
    </xf>
    <xf borderId="0" fillId="0" fontId="17" numFmtId="0" xfId="0" applyAlignment="1" applyFont="1">
      <alignment horizontal="left" vertical="bottom"/>
    </xf>
    <xf borderId="4" fillId="0" fontId="13" numFmtId="0" xfId="0" applyAlignment="1" applyBorder="1" applyFont="1">
      <alignment horizontal="left" vertical="bottom"/>
    </xf>
    <xf borderId="0" fillId="0" fontId="7" numFmtId="0" xfId="0" applyFont="1"/>
    <xf borderId="0" fillId="12" fontId="17" numFmtId="0" xfId="0" applyAlignment="1" applyFill="1" applyFont="1">
      <alignment horizontal="left" vertical="bottom"/>
    </xf>
    <xf borderId="6" fillId="0" fontId="31" numFmtId="0" xfId="0" applyAlignment="1" applyBorder="1" applyFont="1">
      <alignment horizontal="left" readingOrder="0" shrinkToFit="0" vertical="bottom" wrapText="0"/>
    </xf>
    <xf borderId="0" fillId="9" fontId="8" numFmtId="0" xfId="0" applyAlignment="1" applyFill="1" applyFont="1">
      <alignment horizontal="center" shrinkToFit="0" vertical="bottom" wrapText="0"/>
    </xf>
    <xf borderId="0" fillId="0" fontId="28" numFmtId="0" xfId="0" applyAlignment="1" applyFont="1">
      <alignment shrinkToFit="0" wrapText="0"/>
    </xf>
    <xf borderId="0" fillId="0" fontId="14" numFmtId="0" xfId="0" applyAlignment="1" applyFont="1">
      <alignment horizontal="center" readingOrder="0" shrinkToFit="0" vertical="bottom" wrapText="1"/>
    </xf>
    <xf borderId="0" fillId="0" fontId="32" numFmtId="0" xfId="0" applyAlignment="1" applyFont="1">
      <alignment horizontal="left" shrinkToFit="0" vertical="bottom" wrapText="0"/>
    </xf>
    <xf borderId="0" fillId="9" fontId="8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32" numFmtId="0" xfId="0" applyAlignment="1" applyFont="1">
      <alignment shrinkToFit="0" vertical="center" wrapText="0"/>
    </xf>
    <xf borderId="0" fillId="13" fontId="23" numFmtId="20" xfId="0" applyAlignment="1" applyFill="1" applyFont="1" applyNumberFormat="1">
      <alignment shrinkToFit="0" vertical="bottom" wrapText="1"/>
    </xf>
    <xf borderId="0" fillId="8" fontId="8" numFmtId="0" xfId="0" applyAlignment="1" applyFill="1" applyFont="1">
      <alignment horizontal="center"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13" fontId="23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horizontal="left" shrinkToFit="0" vertical="center" wrapText="0"/>
    </xf>
    <xf borderId="0" fillId="14" fontId="23" numFmtId="20" xfId="0" applyAlignment="1" applyFill="1" applyFont="1" applyNumberFormat="1">
      <alignment shrinkToFit="0" vertical="bottom" wrapText="1"/>
    </xf>
    <xf borderId="0" fillId="0" fontId="6" numFmtId="0" xfId="0" applyAlignment="1" applyFont="1">
      <alignment shrinkToFit="0" vertical="center" wrapText="1"/>
    </xf>
    <xf borderId="0" fillId="6" fontId="24" numFmtId="0" xfId="0" applyAlignment="1" applyFill="1" applyFont="1">
      <alignment horizontal="center" vertical="bottom"/>
    </xf>
    <xf borderId="0" fillId="0" fontId="6" numFmtId="166" xfId="0" applyAlignment="1" applyFont="1" applyNumberFormat="1">
      <alignment shrinkToFit="0" vertical="bottom" wrapText="0"/>
    </xf>
    <xf borderId="0" fillId="0" fontId="25" numFmtId="0" xfId="0" applyAlignment="1" applyFont="1">
      <alignment horizontal="left" shrinkToFit="0" vertical="bottom" wrapText="1"/>
    </xf>
    <xf borderId="0" fillId="9" fontId="28" numFmtId="0" xfId="0" applyFill="1" applyFont="1"/>
    <xf borderId="0" fillId="0" fontId="25" numFmtId="0" xfId="0" applyAlignment="1" applyFont="1">
      <alignment horizontal="left" shrinkToFit="0" vertical="bottom" wrapText="1"/>
    </xf>
    <xf borderId="0" fillId="0" fontId="33" numFmtId="0" xfId="0" applyAlignment="1" applyFont="1">
      <alignment vertical="bottom"/>
    </xf>
    <xf borderId="0" fillId="0" fontId="33" numFmtId="167" xfId="0" applyAlignment="1" applyFont="1" applyNumberFormat="1">
      <alignment horizontal="right" shrinkToFit="0" wrapText="1"/>
    </xf>
    <xf borderId="0" fillId="0" fontId="28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7" numFmtId="168" xfId="0" applyAlignment="1" applyFont="1" applyNumberFormat="1">
      <alignment vertical="bottom"/>
    </xf>
    <xf borderId="4" fillId="0" fontId="13" numFmtId="0" xfId="0" applyAlignment="1" applyBorder="1" applyFont="1">
      <alignment vertical="bottom"/>
    </xf>
    <xf borderId="0" fillId="0" fontId="14" numFmtId="0" xfId="0" applyAlignment="1" applyFont="1">
      <alignment horizontal="center" readingOrder="0" vertical="bottom"/>
    </xf>
    <xf borderId="0" fillId="0" fontId="25" numFmtId="0" xfId="0" applyAlignment="1" applyFont="1">
      <alignment shrinkToFit="0" vertical="bottom" wrapText="1"/>
    </xf>
    <xf borderId="0" fillId="0" fontId="23" numFmtId="168" xfId="0" applyAlignment="1" applyFont="1" applyNumberFormat="1">
      <alignment horizontal="left" shrinkToFit="0" vertical="bottom" wrapText="1"/>
    </xf>
    <xf borderId="0" fillId="0" fontId="23" numFmtId="0" xfId="0" applyAlignment="1" applyFont="1">
      <alignment horizontal="left" readingOrder="0"/>
    </xf>
    <xf borderId="0" fillId="15" fontId="14" numFmtId="0" xfId="0" applyAlignment="1" applyFill="1" applyFont="1">
      <alignment horizontal="center" readingOrder="0" shrinkToFit="0" wrapText="1"/>
    </xf>
    <xf borderId="0" fillId="0" fontId="23" numFmtId="169" xfId="0" applyAlignment="1" applyFont="1" applyNumberFormat="1">
      <alignment horizontal="left" readingOrder="0" vertical="bottom"/>
    </xf>
    <xf borderId="0" fillId="15" fontId="28" numFmtId="0" xfId="0" applyAlignment="1" applyFill="1" applyFont="1">
      <alignment readingOrder="0"/>
    </xf>
    <xf borderId="0" fillId="0" fontId="33" numFmtId="0" xfId="0" applyAlignment="1" applyFont="1">
      <alignment horizontal="center" vertical="bottom"/>
    </xf>
    <xf borderId="5" fillId="0" fontId="33" numFmtId="0" xfId="0" applyAlignment="1" applyBorder="1" applyFont="1">
      <alignment horizontal="center" vertical="bottom"/>
    </xf>
    <xf borderId="0" fillId="0" fontId="34" numFmtId="0" xfId="0" applyAlignment="1" applyFont="1">
      <alignment shrinkToFit="0" vertical="center" wrapText="1"/>
    </xf>
    <xf borderId="0" fillId="0" fontId="30" numFmtId="0" xfId="0" applyAlignment="1" applyFont="1">
      <alignment readingOrder="0"/>
    </xf>
    <xf borderId="4" fillId="0" fontId="7" numFmtId="0" xfId="0" applyBorder="1" applyFont="1"/>
    <xf borderId="0" fillId="0" fontId="33" numFmtId="0" xfId="0" applyAlignment="1" applyFont="1">
      <alignment horizontal="center" readingOrder="0" shrinkToFit="0" wrapText="0"/>
    </xf>
    <xf borderId="0" fillId="0" fontId="33" numFmtId="0" xfId="0" applyAlignment="1" applyFont="1">
      <alignment horizontal="center" readingOrder="0"/>
    </xf>
    <xf borderId="0" fillId="0" fontId="13" numFmtId="0" xfId="0" applyAlignment="1" applyFont="1">
      <alignment readingOrder="0" vertical="bottom"/>
    </xf>
    <xf borderId="0" fillId="0" fontId="7" numFmtId="0" xfId="0" applyAlignment="1" applyFont="1">
      <alignment horizontal="left" vertical="bottom"/>
    </xf>
    <xf borderId="4" fillId="10" fontId="7" numFmtId="0" xfId="0" applyBorder="1" applyFill="1" applyFont="1"/>
    <xf borderId="0" fillId="0" fontId="7" numFmtId="166" xfId="0" applyAlignment="1" applyFont="1" applyNumberFormat="1">
      <alignment horizontal="left" vertical="bottom"/>
    </xf>
    <xf borderId="0" fillId="0" fontId="35" numFmtId="0" xfId="0" applyAlignment="1" applyFont="1">
      <alignment horizontal="center" readingOrder="0" shrinkToFit="0" vertical="bottom" wrapText="0"/>
    </xf>
    <xf borderId="0" fillId="0" fontId="30" numFmtId="0" xfId="0" applyAlignment="1" applyFont="1">
      <alignment shrinkToFit="0" wrapText="1"/>
    </xf>
    <xf borderId="0" fillId="0" fontId="28" numFmtId="20" xfId="0" applyAlignment="1" applyFont="1" applyNumberFormat="1">
      <alignment readingOrder="0"/>
    </xf>
    <xf borderId="0" fillId="0" fontId="30" numFmtId="0" xfId="0" applyAlignment="1" applyFont="1">
      <alignment horizontal="center" shrinkToFit="0" wrapText="1"/>
    </xf>
    <xf borderId="0" fillId="0" fontId="30" numFmtId="0" xfId="0" applyAlignment="1" applyFont="1">
      <alignment horizontal="left" shrinkToFit="0" wrapText="1"/>
    </xf>
    <xf borderId="0" fillId="0" fontId="30" numFmtId="0" xfId="0" applyAlignment="1" applyFont="1">
      <alignment horizontal="left" shrinkToFit="0" wrapText="1"/>
    </xf>
    <xf borderId="0" fillId="8" fontId="17" numFmtId="0" xfId="0" applyAlignment="1" applyFill="1" applyFont="1">
      <alignment horizontal="left" readingOrder="0"/>
    </xf>
    <xf borderId="4" fillId="0" fontId="36" numFmtId="0" xfId="0" applyAlignment="1" applyBorder="1" applyFont="1">
      <alignment horizontal="center" shrinkToFit="0" wrapText="1"/>
    </xf>
    <xf borderId="4" fillId="0" fontId="36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right" shrinkToFit="0" vertical="bottom" wrapText="1"/>
    </xf>
    <xf borderId="0" fillId="0" fontId="13" numFmtId="0" xfId="0" applyAlignment="1" applyFont="1">
      <alignment horizontal="left" readingOrder="0" vertical="bottom"/>
    </xf>
    <xf borderId="4" fillId="0" fontId="7" numFmtId="0" xfId="0" applyAlignment="1" applyBorder="1" applyFont="1">
      <alignment readingOrder="0"/>
    </xf>
    <xf borderId="0" fillId="8" fontId="14" numFmtId="0" xfId="0" applyAlignment="1" applyFill="1" applyFont="1">
      <alignment shrinkToFit="0" wrapText="1"/>
    </xf>
    <xf borderId="0" fillId="0" fontId="37" numFmtId="0" xfId="0" applyAlignment="1" applyFont="1">
      <alignment readingOrder="0"/>
    </xf>
    <xf borderId="0" fillId="5" fontId="23" numFmtId="0" xfId="0" applyAlignment="1" applyFill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6" fontId="24" numFmtId="0" xfId="0" applyAlignment="1" applyFill="1" applyFont="1">
      <alignment horizontal="center"/>
    </xf>
    <xf borderId="0" fillId="0" fontId="14" numFmtId="0" xfId="0" applyAlignment="1" applyFont="1">
      <alignment horizontal="center"/>
    </xf>
    <xf borderId="0" fillId="8" fontId="3" numFmtId="0" xfId="0" applyAlignment="1" applyFill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1"/>
    </xf>
    <xf borderId="0" fillId="5" fontId="38" numFmtId="0" xfId="0" applyAlignment="1" applyFill="1" applyFont="1">
      <alignment horizontal="center" shrinkToFit="0" wrapText="1"/>
    </xf>
    <xf borderId="0" fillId="0" fontId="38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17" numFmtId="0" xfId="0" applyAlignment="1" applyFont="1">
      <alignment shrinkToFit="0" vertical="bottom" wrapText="1"/>
    </xf>
    <xf borderId="0" fillId="0" fontId="8" numFmtId="0" xfId="0" applyAlignment="1" applyFont="1">
      <alignment horizontal="right" readingOrder="0" shrinkToFit="0" vertical="center" wrapText="1"/>
    </xf>
    <xf borderId="0" fillId="10" fontId="24" numFmtId="0" xfId="0" applyAlignment="1" applyFill="1" applyFont="1">
      <alignment horizontal="center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right"/>
    </xf>
    <xf borderId="0" fillId="0" fontId="14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readingOrder="0" vertical="bottom"/>
    </xf>
    <xf borderId="0" fillId="0" fontId="39" numFmtId="0" xfId="0" applyAlignment="1" applyFont="1">
      <alignment shrinkToFit="0" wrapText="1"/>
    </xf>
    <xf borderId="0" fillId="6" fontId="24" numFmtId="0" xfId="0" applyAlignment="1" applyFill="1" applyFont="1">
      <alignment horizontal="center"/>
    </xf>
    <xf borderId="0" fillId="0" fontId="14" numFmtId="0" xfId="0" applyAlignment="1" applyFont="1">
      <alignment horizontal="center"/>
    </xf>
    <xf borderId="0" fillId="0" fontId="38" numFmtId="0" xfId="0" applyAlignment="1" applyFont="1">
      <alignment horizontal="center" readingOrder="0" shrinkToFit="0" wrapText="1"/>
    </xf>
    <xf borderId="0" fillId="0" fontId="7" numFmtId="0" xfId="0" applyFont="1"/>
    <xf borderId="0" fillId="0" fontId="14" numFmtId="0" xfId="0" applyAlignment="1" applyFont="1">
      <alignment horizontal="center" readingOrder="0"/>
    </xf>
    <xf borderId="0" fillId="16" fontId="14" numFmtId="0" xfId="0" applyAlignment="1" applyFill="1" applyFont="1">
      <alignment horizontal="center" shrinkToFit="0" wrapText="1"/>
    </xf>
    <xf borderId="0" fillId="0" fontId="40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166" xfId="0" applyAlignment="1" applyFont="1" applyNumberFormat="1">
      <alignment horizontal="left" vertical="bottom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166" xfId="0" applyAlignment="1" applyFont="1" applyNumberFormat="1">
      <alignment horizontal="left" shrinkToFit="0" vertical="center" wrapText="1"/>
    </xf>
    <xf borderId="0" fillId="6" fontId="14" numFmtId="0" xfId="0" applyAlignment="1" applyFill="1" applyFont="1">
      <alignment shrinkToFit="0" wrapText="1"/>
    </xf>
    <xf borderId="0" fillId="6" fontId="17" numFmtId="0" xfId="0" applyAlignment="1" applyFill="1" applyFont="1">
      <alignment horizontal="left" readingOrder="0" vertical="bottom"/>
    </xf>
    <xf borderId="0" fillId="0" fontId="6" numFmtId="0" xfId="0" applyAlignment="1" applyFont="1">
      <alignment horizontal="center" shrinkToFit="0" vertical="bottom" wrapText="0"/>
    </xf>
    <xf borderId="0" fillId="0" fontId="6" numFmtId="170" xfId="0" applyAlignment="1" applyFont="1" applyNumberFormat="1">
      <alignment horizontal="center" shrinkToFit="0" vertical="bottom" wrapText="0"/>
    </xf>
    <xf borderId="0" fillId="0" fontId="33" numFmtId="0" xfId="0" applyAlignment="1" applyFont="1">
      <alignment shrinkToFit="0" vertical="bottom" wrapText="1"/>
    </xf>
    <xf borderId="4" fillId="0" fontId="10" numFmtId="0" xfId="0" applyAlignment="1" applyBorder="1" applyFont="1">
      <alignment horizontal="right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vertical="bottom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41" numFmtId="0" xfId="0" applyAlignment="1" applyBorder="1" applyFont="1">
      <alignment horizontal="center" shrinkToFit="0" vertical="center" wrapText="1"/>
    </xf>
    <xf borderId="0" fillId="6" fontId="14" numFmtId="0" xfId="0" applyAlignment="1" applyFill="1" applyFont="1">
      <alignment horizontal="center" vertical="bottom"/>
    </xf>
    <xf borderId="0" fillId="0" fontId="8" numFmtId="0" xfId="0" applyAlignment="1" applyFont="1">
      <alignment horizontal="center" shrinkToFit="0" vertical="center" wrapText="0"/>
    </xf>
    <xf borderId="0" fillId="16" fontId="23" numFmtId="0" xfId="0" applyAlignment="1" applyFill="1" applyFont="1">
      <alignment vertical="bottom"/>
    </xf>
    <xf borderId="0" fillId="0" fontId="23" numFmtId="0" xfId="0" applyAlignment="1" applyFont="1">
      <alignment horizontal="center" vertical="bottom"/>
    </xf>
    <xf borderId="0" fillId="0" fontId="6" numFmtId="166" xfId="0" applyAlignment="1" applyFont="1" applyNumberFormat="1">
      <alignment shrinkToFit="0" vertical="center" wrapText="1"/>
    </xf>
    <xf borderId="0" fillId="6" fontId="28" numFmtId="0" xfId="0" applyAlignment="1" applyFill="1" applyFont="1">
      <alignment horizontal="center" readingOrder="0"/>
    </xf>
    <xf borderId="0" fillId="4" fontId="28" numFmtId="0" xfId="0" applyAlignment="1" applyFill="1" applyFont="1">
      <alignment horizontal="center" readingOrder="0"/>
    </xf>
    <xf borderId="0" fillId="3" fontId="28" numFmtId="0" xfId="0" applyAlignment="1" applyFill="1" applyFont="1">
      <alignment horizontal="center" readingOrder="0"/>
    </xf>
    <xf borderId="0" fillId="17" fontId="28" numFmtId="0" xfId="0" applyAlignment="1" applyFill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18" fontId="28" numFmtId="0" xfId="0" applyAlignment="1" applyFill="1" applyFont="1">
      <alignment horizontal="center" readingOrder="0"/>
    </xf>
    <xf borderId="0" fillId="13" fontId="28" numFmtId="0" xfId="0" applyAlignment="1" applyFill="1" applyFont="1">
      <alignment horizontal="center" readingOrder="0"/>
    </xf>
    <xf borderId="0" fillId="19" fontId="28" numFmtId="0" xfId="0" applyAlignment="1" applyFill="1" applyFont="1">
      <alignment horizontal="center" readingOrder="0"/>
    </xf>
    <xf borderId="0" fillId="16" fontId="28" numFmtId="0" xfId="0" applyAlignment="1" applyFill="1" applyFont="1">
      <alignment horizontal="center" readingOrder="0"/>
    </xf>
    <xf borderId="0" fillId="20" fontId="28" numFmtId="0" xfId="0" applyAlignment="1" applyFill="1" applyFont="1">
      <alignment horizontal="center" readingOrder="0"/>
    </xf>
    <xf borderId="0" fillId="21" fontId="28" numFmtId="0" xfId="0" applyAlignment="1" applyFill="1" applyFont="1">
      <alignment horizontal="center" readingOrder="0"/>
    </xf>
    <xf borderId="0" fillId="22" fontId="28" numFmtId="0" xfId="0" applyAlignment="1" applyFill="1" applyFont="1">
      <alignment horizontal="center" readingOrder="0"/>
    </xf>
    <xf borderId="0" fillId="23" fontId="28" numFmtId="0" xfId="0" applyAlignment="1" applyFill="1" applyFont="1">
      <alignment horizontal="center" readingOrder="0"/>
    </xf>
    <xf borderId="0" fillId="24" fontId="28" numFmtId="0" xfId="0" applyAlignment="1" applyFill="1" applyFont="1">
      <alignment horizontal="center" readingOrder="0"/>
    </xf>
    <xf borderId="0" fillId="0" fontId="28" numFmtId="0" xfId="0" applyFont="1"/>
    <xf borderId="0" fillId="0" fontId="42" numFmtId="0" xfId="0" applyAlignment="1" applyFont="1">
      <alignment vertical="bottom"/>
    </xf>
    <xf borderId="0" fillId="0" fontId="42" numFmtId="0" xfId="0" applyAlignment="1" applyFont="1">
      <alignment readingOrder="0" vertical="bottom"/>
    </xf>
    <xf borderId="1" fillId="2" fontId="6" numFmtId="0" xfId="0" applyAlignment="1" applyBorder="1" applyFill="1" applyFont="1">
      <alignment shrinkToFit="0" vertical="bottom" wrapText="0"/>
    </xf>
    <xf borderId="0" fillId="0" fontId="43" numFmtId="0" xfId="0" applyAlignment="1" applyFont="1">
      <alignment horizontal="right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44" numFmtId="0" xfId="0" applyAlignment="1" applyFont="1">
      <alignment horizontal="center" shrinkToFit="0" vertical="bottom" wrapText="0"/>
    </xf>
    <xf borderId="0" fillId="0" fontId="45" numFmtId="0" xfId="0" applyAlignment="1" applyFont="1">
      <alignment shrinkToFit="0" vertical="bottom" wrapText="0"/>
    </xf>
    <xf borderId="4" fillId="0" fontId="46" numFmtId="0" xfId="0" applyAlignment="1" applyBorder="1" applyFont="1">
      <alignment horizontal="center" shrinkToFit="0" vertical="center" wrapText="1"/>
    </xf>
    <xf borderId="4" fillId="0" fontId="47" numFmtId="0" xfId="0" applyAlignment="1" applyBorder="1" applyFont="1">
      <alignment horizontal="center" shrinkToFit="0" vertical="center" wrapText="1"/>
    </xf>
    <xf borderId="4" fillId="0" fontId="48" numFmtId="0" xfId="0" applyAlignment="1" applyBorder="1" applyFont="1">
      <alignment horizontal="center" shrinkToFit="0" vertical="center" wrapText="1"/>
    </xf>
    <xf borderId="7" fillId="0" fontId="46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0" fillId="0" fontId="46" numFmtId="0" xfId="0" applyAlignment="1" applyFont="1">
      <alignment horizontal="center" shrinkToFit="0" vertical="center" wrapText="1"/>
    </xf>
    <xf borderId="0" fillId="0" fontId="49" numFmtId="0" xfId="0" applyAlignment="1" applyFont="1">
      <alignment shrinkToFit="0" vertical="center" wrapText="1"/>
    </xf>
    <xf borderId="0" fillId="0" fontId="43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49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49" numFmtId="0" xfId="0" applyAlignment="1" applyFont="1">
      <alignment horizontal="left" shrinkToFit="0" vertical="bottom" wrapText="0"/>
    </xf>
    <xf borderId="0" fillId="0" fontId="43" numFmtId="0" xfId="0" applyAlignment="1" applyFont="1">
      <alignment horizontal="center" shrinkToFit="0" vertical="bottom" wrapText="0"/>
    </xf>
    <xf borderId="0" fillId="0" fontId="49" numFmtId="0" xfId="0" applyAlignment="1" applyFont="1">
      <alignment horizontal="left" shrinkToFit="0" vertical="bottom" wrapText="1"/>
    </xf>
    <xf borderId="0" fillId="0" fontId="42" numFmtId="0" xfId="0" applyAlignment="1" applyFont="1">
      <alignment readingOrder="0"/>
    </xf>
    <xf borderId="0" fillId="0" fontId="49" numFmtId="0" xfId="0" applyAlignment="1" applyFont="1">
      <alignment shrinkToFit="0" vertical="bottom" wrapText="0"/>
    </xf>
    <xf borderId="0" fillId="0" fontId="50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center" shrinkToFit="0" vertical="bottom" wrapText="1"/>
    </xf>
    <xf borderId="0" fillId="0" fontId="51" numFmtId="0" xfId="0" applyAlignment="1" applyFont="1">
      <alignment shrinkToFit="0" vertical="center" wrapText="0"/>
    </xf>
    <xf borderId="0" fillId="0" fontId="51" numFmtId="0" xfId="0" applyAlignment="1" applyFont="1">
      <alignment shrinkToFit="0" vertical="bottom" wrapText="1"/>
    </xf>
    <xf borderId="0" fillId="0" fontId="51" numFmtId="0" xfId="0" applyAlignment="1" applyFont="1">
      <alignment horizontal="left" shrinkToFit="0" vertical="bottom" wrapText="0"/>
    </xf>
    <xf borderId="0" fillId="0" fontId="5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52" numFmtId="0" xfId="0" applyAlignment="1" applyFont="1">
      <alignment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0" fontId="49" numFmtId="0" xfId="0" applyAlignment="1" applyFont="1">
      <alignment shrinkToFit="0" vertical="top" wrapText="1"/>
    </xf>
    <xf borderId="0" fillId="0" fontId="49" numFmtId="0" xfId="0" applyAlignment="1" applyFont="1">
      <alignment horizontal="left" shrinkToFit="0" vertical="center" wrapText="0"/>
    </xf>
    <xf borderId="0" fillId="0" fontId="52" numFmtId="0" xfId="0" applyAlignment="1" applyFont="1">
      <alignment horizontal="left" shrinkToFit="0" vertical="center" wrapText="0"/>
    </xf>
    <xf borderId="8" fillId="0" fontId="43" numFmtId="0" xfId="0" applyAlignment="1" applyBorder="1" applyFont="1">
      <alignment shrinkToFit="0" vertical="bottom" wrapText="1"/>
    </xf>
    <xf borderId="8" fillId="0" fontId="43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9" fillId="25" fontId="6" numFmtId="0" xfId="0" applyAlignment="1" applyBorder="1" applyFill="1" applyFont="1">
      <alignment horizontal="center" shrinkToFit="0" vertical="bottom" wrapText="0"/>
    </xf>
    <xf borderId="9" fillId="25" fontId="6" numFmtId="0" xfId="0" applyAlignment="1" applyBorder="1" applyFill="1" applyFont="1">
      <alignment shrinkToFit="0" vertical="bottom" wrapText="0"/>
    </xf>
    <xf borderId="9" fillId="25" fontId="43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horizontal="right" shrinkToFit="0" vertical="center" wrapText="1"/>
    </xf>
    <xf borderId="0" fillId="8" fontId="1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8" fontId="19" numFmtId="0" xfId="0" applyAlignment="1" applyFill="1" applyFont="1">
      <alignment shrinkToFit="0" vertical="bottom" wrapText="1"/>
    </xf>
    <xf borderId="4" fillId="0" fontId="10" numFmtId="0" xfId="0" applyAlignment="1" applyBorder="1" applyFont="1">
      <alignment shrinkToFit="0" vertical="center" wrapText="1"/>
    </xf>
    <xf borderId="0" fillId="0" fontId="32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22" numFmtId="0" xfId="0" applyAlignment="1" applyFont="1">
      <alignment horizontal="right" shrinkToFit="0" wrapText="1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shrinkToFit="0" wrapText="1"/>
    </xf>
    <xf borderId="4" fillId="0" fontId="22" numFmtId="0" xfId="0" applyAlignment="1" applyBorder="1" applyFont="1">
      <alignment horizontal="right" shrinkToFit="0" wrapText="1"/>
    </xf>
    <xf borderId="4" fillId="0" fontId="22" numFmtId="0" xfId="0" applyAlignment="1" applyBorder="1" applyFont="1">
      <alignment shrinkToFit="0" wrapText="1"/>
    </xf>
    <xf borderId="4" fillId="0" fontId="22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right"/>
    </xf>
    <xf borderId="0" fillId="6" fontId="14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9">
    <dxf>
      <font>
        <color rgb="FF000000"/>
        <name val="Calibri"/>
      </font>
      <numFmt numFmtId="0" formatCode=""/>
      <fill>
        <patternFill patternType="solid">
          <fgColor rgb="FFFFFF00"/>
          <bgColor rgb="FFFFFF00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3FAF46"/>
          <bgColor rgb="FF3FAF46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3FAF46"/>
          <bgColor rgb="FF3FAF4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3FAF46"/>
          <bgColor rgb="FF3FAF46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54.14"/>
    <col customWidth="1" min="3" max="3" width="48.43"/>
    <col customWidth="1" min="4" max="4" width="18.71"/>
    <col customWidth="1" min="5" max="5" width="11.0"/>
    <col customWidth="1" min="6" max="6" width="12.57"/>
    <col customWidth="1" min="7" max="7" width="9.86"/>
    <col customWidth="1" min="8" max="8" width="11.71"/>
    <col customWidth="1" min="9" max="9" width="10.57"/>
    <col customWidth="1" min="10" max="10" width="15.86"/>
    <col customWidth="1" min="11" max="11" width="33.43"/>
    <col customWidth="1" min="12" max="12" width="27.29"/>
    <col customWidth="1" min="13" max="13" width="38.14"/>
    <col customWidth="1" min="14" max="30" width="9.0"/>
  </cols>
  <sheetData>
    <row r="1">
      <c r="A1" s="2" t="s">
        <v>1</v>
      </c>
      <c r="B1" s="4"/>
      <c r="C1" s="4"/>
      <c r="D1" s="4"/>
      <c r="E1" s="4"/>
      <c r="F1" s="6"/>
      <c r="G1" s="5"/>
      <c r="H1" s="5"/>
      <c r="I1" s="5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11"/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1"/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9"/>
      <c r="AB2" s="19"/>
      <c r="AC2" s="19"/>
      <c r="AD2" s="19"/>
    </row>
    <row r="3" ht="15.0" customHeight="1">
      <c r="A3" s="9"/>
      <c r="B3" s="26" t="s">
        <v>10</v>
      </c>
      <c r="C3" s="23"/>
      <c r="D3" s="23"/>
      <c r="E3" s="30"/>
      <c r="F3" s="35"/>
      <c r="G3" s="9"/>
      <c r="H3" s="9"/>
      <c r="I3" s="9"/>
      <c r="J3" s="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9"/>
      <c r="B4" s="28" t="s">
        <v>24</v>
      </c>
      <c r="C4" s="40" t="s">
        <v>26</v>
      </c>
      <c r="D4" s="34" t="s">
        <v>23</v>
      </c>
      <c r="E4" s="36">
        <v>6.0</v>
      </c>
      <c r="F4" s="36"/>
      <c r="G4" s="9"/>
      <c r="H4" s="9"/>
      <c r="I4" s="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13.5" customHeight="1">
      <c r="A5" s="9"/>
      <c r="B5" s="28" t="s">
        <v>38</v>
      </c>
      <c r="C5" s="33" t="s">
        <v>31</v>
      </c>
      <c r="D5" s="34" t="s">
        <v>23</v>
      </c>
      <c r="E5" s="36">
        <v>6.0</v>
      </c>
      <c r="F5" s="36"/>
      <c r="G5" s="9"/>
      <c r="H5" s="9"/>
      <c r="I5" s="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13.5" customHeight="1">
      <c r="A6" s="9"/>
      <c r="B6" s="28" t="s">
        <v>42</v>
      </c>
      <c r="C6" s="38" t="s">
        <v>45</v>
      </c>
      <c r="D6" s="36" t="s">
        <v>48</v>
      </c>
      <c r="E6" s="36">
        <v>5.0</v>
      </c>
      <c r="F6" s="36"/>
      <c r="G6" s="9"/>
      <c r="H6" s="9"/>
      <c r="I6" s="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ht="13.5" customHeight="1">
      <c r="A7" s="9"/>
      <c r="B7" s="28" t="s">
        <v>52</v>
      </c>
      <c r="C7" s="41" t="s">
        <v>53</v>
      </c>
      <c r="D7" s="34" t="s">
        <v>23</v>
      </c>
      <c r="E7" s="36">
        <v>4.0</v>
      </c>
      <c r="F7" s="36"/>
      <c r="G7" s="9"/>
      <c r="H7" s="9"/>
      <c r="I7" s="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ht="13.5" customHeight="1">
      <c r="A8" s="9"/>
      <c r="B8" s="28" t="s">
        <v>27</v>
      </c>
      <c r="C8" s="52" t="s">
        <v>57</v>
      </c>
      <c r="D8" s="34" t="s">
        <v>58</v>
      </c>
      <c r="E8" s="36">
        <v>4.0</v>
      </c>
      <c r="F8" s="36"/>
      <c r="G8" s="9"/>
      <c r="H8" s="9"/>
      <c r="I8" s="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ht="13.5" customHeight="1">
      <c r="A9" s="9"/>
      <c r="B9" s="47"/>
      <c r="C9" s="47"/>
      <c r="D9" s="35"/>
      <c r="E9" s="35"/>
      <c r="F9" s="35"/>
      <c r="G9" s="9"/>
      <c r="H9" s="9"/>
      <c r="I9" s="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ht="15.0" customHeight="1">
      <c r="A10" s="9"/>
      <c r="B10" s="21" t="s">
        <v>63</v>
      </c>
      <c r="C10" s="23"/>
      <c r="D10" s="23"/>
      <c r="E10" s="30"/>
      <c r="F10" s="35"/>
      <c r="G10" s="9"/>
      <c r="H10" s="9"/>
      <c r="I10" s="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ht="13.5" customHeight="1">
      <c r="A11" s="9"/>
      <c r="B11" s="28" t="s">
        <v>24</v>
      </c>
      <c r="C11" s="1" t="s">
        <v>68</v>
      </c>
      <c r="D11" s="34" t="s">
        <v>23</v>
      </c>
      <c r="E11" s="36">
        <v>6.0</v>
      </c>
      <c r="F11" s="36"/>
      <c r="G11" s="9"/>
      <c r="H11" s="9"/>
      <c r="I11" s="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ht="13.5" customHeight="1">
      <c r="A12" s="9"/>
      <c r="B12" s="28" t="s">
        <v>38</v>
      </c>
      <c r="C12" s="33" t="s">
        <v>31</v>
      </c>
      <c r="D12" s="34" t="s">
        <v>23</v>
      </c>
      <c r="E12" s="36">
        <v>6.0</v>
      </c>
      <c r="F12" s="36"/>
      <c r="G12" s="9"/>
      <c r="H12" s="9"/>
      <c r="I12" s="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ht="13.5" customHeight="1">
      <c r="A13" s="9"/>
      <c r="B13" s="28" t="s">
        <v>42</v>
      </c>
      <c r="C13" s="37" t="s">
        <v>76</v>
      </c>
      <c r="D13" s="36" t="s">
        <v>48</v>
      </c>
      <c r="E13" s="36">
        <v>5.0</v>
      </c>
      <c r="F13" s="36"/>
      <c r="G13" s="9"/>
      <c r="H13" s="9"/>
      <c r="I13" s="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ht="13.5" customHeight="1">
      <c r="A14" s="9"/>
      <c r="B14" s="28" t="s">
        <v>52</v>
      </c>
      <c r="C14" s="57" t="s">
        <v>81</v>
      </c>
      <c r="D14" s="34" t="s">
        <v>23</v>
      </c>
      <c r="E14" s="36">
        <v>4.0</v>
      </c>
      <c r="F14" s="36"/>
      <c r="G14" s="9"/>
      <c r="H14" s="9"/>
      <c r="I14" s="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ht="13.5" customHeight="1">
      <c r="A15" s="9"/>
      <c r="B15" s="44" t="s">
        <v>27</v>
      </c>
      <c r="C15" s="44" t="s">
        <v>40</v>
      </c>
      <c r="D15" s="34" t="s">
        <v>58</v>
      </c>
      <c r="E15" s="36">
        <v>4.0</v>
      </c>
      <c r="F15" s="36"/>
      <c r="G15" s="47"/>
      <c r="H15" s="9"/>
      <c r="I15" s="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ht="13.5" customHeight="1">
      <c r="A16" s="9"/>
      <c r="B16" s="60"/>
      <c r="C16" s="62"/>
      <c r="D16" s="35"/>
      <c r="E16" s="35"/>
      <c r="F16" s="35"/>
      <c r="G16" s="47"/>
      <c r="H16" s="9"/>
      <c r="I16" s="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ht="13.5" customHeight="1">
      <c r="A17" s="9"/>
      <c r="B17" s="22" t="s">
        <v>93</v>
      </c>
      <c r="C17" s="64"/>
      <c r="D17" s="64"/>
      <c r="E17" s="64"/>
      <c r="F17" s="64"/>
      <c r="G17" s="47"/>
      <c r="H17" s="9"/>
      <c r="I17" s="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ht="13.5" customHeight="1">
      <c r="A18" s="9"/>
      <c r="B18" s="28" t="s">
        <v>100</v>
      </c>
      <c r="C18" s="67" t="s">
        <v>101</v>
      </c>
      <c r="D18" s="34" t="s">
        <v>23</v>
      </c>
      <c r="E18" s="36">
        <v>6.0</v>
      </c>
      <c r="F18" s="36"/>
      <c r="G18" s="47"/>
      <c r="H18" s="9"/>
      <c r="I18" s="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ht="13.5" customHeight="1">
      <c r="A19" s="9"/>
      <c r="B19" s="28" t="s">
        <v>106</v>
      </c>
      <c r="C19" s="31" t="s">
        <v>13</v>
      </c>
      <c r="D19" s="36"/>
      <c r="E19" s="36">
        <v>5.0</v>
      </c>
      <c r="F19" s="36"/>
      <c r="G19" s="9"/>
      <c r="H19" s="9"/>
      <c r="I19" s="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ht="15.0" customHeight="1">
      <c r="A20" s="9"/>
      <c r="B20" s="28" t="s">
        <v>111</v>
      </c>
      <c r="C20" s="31" t="s">
        <v>107</v>
      </c>
      <c r="D20" s="34" t="s">
        <v>23</v>
      </c>
      <c r="E20" s="34">
        <v>6.0</v>
      </c>
      <c r="F20" s="9"/>
      <c r="G20" s="9"/>
      <c r="H20" s="9"/>
      <c r="I20" s="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ht="15.0" customHeight="1">
      <c r="A21" s="9"/>
      <c r="B21" s="28" t="s">
        <v>113</v>
      </c>
      <c r="C21" s="72" t="s">
        <v>81</v>
      </c>
      <c r="D21" s="34" t="s">
        <v>23</v>
      </c>
      <c r="E21" s="34">
        <v>4.0</v>
      </c>
      <c r="F21" s="9"/>
      <c r="G21" s="9"/>
      <c r="H21" s="9"/>
      <c r="I21" s="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ht="15.0" customHeight="1">
      <c r="A22" s="9"/>
      <c r="B22" s="28" t="s">
        <v>116</v>
      </c>
      <c r="C22" s="38" t="s">
        <v>117</v>
      </c>
      <c r="D22" s="36" t="s">
        <v>48</v>
      </c>
      <c r="E22" s="36">
        <v>4.0</v>
      </c>
      <c r="F22" s="36"/>
      <c r="G22" s="9"/>
      <c r="H22" s="9"/>
      <c r="I22" s="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ht="15.0" customHeight="1">
      <c r="A23" s="9"/>
      <c r="C23" s="73"/>
      <c r="D23" s="74"/>
      <c r="E23" s="35"/>
      <c r="F23" s="35"/>
      <c r="G23" s="9"/>
      <c r="H23" s="9"/>
      <c r="I23" s="9"/>
      <c r="J23" s="9"/>
      <c r="K23" s="9"/>
      <c r="L23" s="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5.0" customHeight="1">
      <c r="A24" s="9"/>
      <c r="B24" s="22" t="s">
        <v>124</v>
      </c>
      <c r="C24" s="64"/>
      <c r="D24" s="64"/>
      <c r="E24" s="64"/>
      <c r="F24" s="35"/>
      <c r="G24" s="9"/>
      <c r="H24" s="9"/>
      <c r="I24" s="9"/>
      <c r="J24" s="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0" customHeight="1">
      <c r="A25" s="9"/>
      <c r="B25" s="28" t="s">
        <v>100</v>
      </c>
      <c r="C25" s="40" t="s">
        <v>101</v>
      </c>
      <c r="D25" s="34" t="s">
        <v>23</v>
      </c>
      <c r="E25" s="36">
        <v>6.0</v>
      </c>
      <c r="F25" s="36"/>
      <c r="G25" s="9"/>
      <c r="H25" s="9"/>
      <c r="I25" s="9"/>
      <c r="J25" s="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5.0" customHeight="1">
      <c r="A26" s="9"/>
      <c r="B26" s="28" t="s">
        <v>106</v>
      </c>
      <c r="C26" s="31" t="s">
        <v>13</v>
      </c>
      <c r="D26" s="36"/>
      <c r="E26" s="36">
        <v>5.0</v>
      </c>
      <c r="F26" s="36"/>
      <c r="G26" s="9"/>
      <c r="H26" s="9"/>
      <c r="I26" s="9"/>
      <c r="J26" s="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5.0" customHeight="1">
      <c r="A27" s="9"/>
      <c r="B27" s="28" t="s">
        <v>111</v>
      </c>
      <c r="C27" s="1" t="s">
        <v>107</v>
      </c>
      <c r="D27" s="34" t="s">
        <v>23</v>
      </c>
      <c r="E27" s="36">
        <v>5.0</v>
      </c>
      <c r="F27" s="36"/>
      <c r="G27" s="9"/>
      <c r="H27" s="9"/>
      <c r="I27" s="9"/>
      <c r="J27" s="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5.0" customHeight="1">
      <c r="A28" s="9"/>
      <c r="B28" s="28" t="s">
        <v>113</v>
      </c>
      <c r="C28" s="38" t="s">
        <v>21</v>
      </c>
      <c r="D28" s="34" t="s">
        <v>23</v>
      </c>
      <c r="E28" s="36">
        <v>5.0</v>
      </c>
      <c r="F28" s="36"/>
      <c r="G28" s="9"/>
      <c r="H28" s="9"/>
      <c r="I28" s="9"/>
      <c r="J28" s="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5.0" customHeight="1">
      <c r="A29" s="9"/>
      <c r="B29" s="28" t="s">
        <v>116</v>
      </c>
      <c r="C29" s="38" t="s">
        <v>79</v>
      </c>
      <c r="D29" s="36" t="s">
        <v>48</v>
      </c>
      <c r="E29" s="36">
        <v>4.0</v>
      </c>
      <c r="F29" s="36"/>
      <c r="G29" s="9"/>
      <c r="H29" s="9"/>
      <c r="I29" s="9"/>
      <c r="J29" s="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5.0" customHeight="1">
      <c r="A30" s="9"/>
      <c r="B30" s="78"/>
      <c r="C30" s="73"/>
      <c r="D30" s="74"/>
      <c r="E30" s="35"/>
      <c r="F30" s="35"/>
      <c r="G30" s="9"/>
      <c r="H30" s="9"/>
      <c r="I30" s="9"/>
      <c r="J30" s="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5.0" customHeight="1">
      <c r="A31" s="9"/>
      <c r="B31" s="22">
        <v>516.0</v>
      </c>
      <c r="C31" s="64"/>
      <c r="D31" s="64"/>
      <c r="E31" s="64"/>
      <c r="F31" s="35"/>
      <c r="G31" s="9"/>
      <c r="H31" s="9"/>
      <c r="I31" s="9"/>
      <c r="J31" s="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5.0" customHeight="1">
      <c r="A32" s="9"/>
      <c r="B32" s="28" t="s">
        <v>149</v>
      </c>
      <c r="C32" s="1" t="s">
        <v>68</v>
      </c>
      <c r="D32" s="34" t="s">
        <v>23</v>
      </c>
      <c r="E32" s="36">
        <v>5.0</v>
      </c>
      <c r="F32" s="36"/>
      <c r="G32" s="9"/>
      <c r="H32" s="9"/>
      <c r="I32" s="9"/>
      <c r="J32" s="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5.0" customHeight="1">
      <c r="A33" s="9"/>
      <c r="B33" s="28" t="s">
        <v>151</v>
      </c>
      <c r="C33" s="75"/>
      <c r="D33" s="36"/>
      <c r="E33" s="36">
        <v>5.0</v>
      </c>
      <c r="F33" s="36"/>
      <c r="G33" s="9"/>
      <c r="H33" s="9"/>
      <c r="I33" s="9"/>
      <c r="J33" s="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5.0" customHeight="1">
      <c r="A34" s="9"/>
      <c r="B34" s="28" t="s">
        <v>154</v>
      </c>
      <c r="C34" s="1" t="s">
        <v>107</v>
      </c>
      <c r="D34" s="34" t="s">
        <v>23</v>
      </c>
      <c r="E34" s="36">
        <v>6.0</v>
      </c>
      <c r="F34" s="36"/>
      <c r="G34" s="9"/>
      <c r="H34" s="9"/>
      <c r="I34" s="9"/>
      <c r="J34" s="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5.0" customHeight="1">
      <c r="A35" s="9"/>
      <c r="B35" s="28" t="s">
        <v>157</v>
      </c>
      <c r="C35" s="1" t="s">
        <v>0</v>
      </c>
      <c r="D35" s="34" t="s">
        <v>23</v>
      </c>
      <c r="E35" s="36">
        <v>6.0</v>
      </c>
      <c r="F35" s="34"/>
      <c r="G35" s="82" t="s">
        <v>160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5.0" customHeight="1">
      <c r="A36" s="9"/>
      <c r="B36" s="28" t="s">
        <v>164</v>
      </c>
      <c r="C36" s="41" t="s">
        <v>35</v>
      </c>
      <c r="D36" s="34" t="s">
        <v>23</v>
      </c>
      <c r="E36" s="36">
        <v>4.0</v>
      </c>
      <c r="F36" s="36"/>
      <c r="G36" s="9"/>
      <c r="H36" s="9"/>
      <c r="I36" s="9"/>
      <c r="J36" s="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5.0" customHeight="1">
      <c r="A37" s="9"/>
      <c r="B37" s="78"/>
      <c r="C37" s="73"/>
      <c r="D37" s="74"/>
      <c r="E37" s="35"/>
      <c r="F37" s="35"/>
      <c r="G37" s="9"/>
      <c r="H37" s="9"/>
      <c r="I37" s="9"/>
      <c r="J37" s="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5.0" customHeight="1">
      <c r="A38" s="9"/>
      <c r="B38" s="78"/>
      <c r="C38" s="73"/>
      <c r="D38" s="74"/>
      <c r="E38" s="35"/>
      <c r="F38" s="35"/>
      <c r="G38" s="9"/>
      <c r="H38" s="9"/>
      <c r="I38" s="9"/>
      <c r="J38" s="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5.0" customHeight="1">
      <c r="A39" s="9"/>
      <c r="B39" s="78"/>
      <c r="C39" s="73"/>
      <c r="D39" s="74"/>
      <c r="E39" s="35"/>
      <c r="F39" s="35"/>
      <c r="G39" s="9"/>
      <c r="H39" s="9"/>
      <c r="I39" s="9"/>
      <c r="J39" s="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5.0" customHeight="1">
      <c r="A40" s="9"/>
      <c r="B40" s="78"/>
      <c r="C40" s="73"/>
      <c r="D40" s="74"/>
      <c r="E40" s="35"/>
      <c r="F40" s="35"/>
      <c r="G40" s="9"/>
      <c r="H40" s="9"/>
      <c r="I40" s="9"/>
      <c r="J40" s="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5.0" customHeight="1">
      <c r="A41" s="9"/>
      <c r="B41" s="85" t="s">
        <v>188</v>
      </c>
      <c r="C41" s="73"/>
      <c r="D41" s="74"/>
      <c r="E41" s="35"/>
      <c r="F41" s="35"/>
      <c r="G41" s="9"/>
      <c r="H41" s="9"/>
      <c r="I41" s="9"/>
      <c r="J41" s="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5.0" customHeight="1">
      <c r="A42" s="9"/>
      <c r="B42" s="78"/>
      <c r="C42" s="73"/>
      <c r="D42" s="74"/>
      <c r="E42" s="35"/>
      <c r="F42" s="35"/>
      <c r="G42" s="9"/>
      <c r="H42" s="9"/>
      <c r="I42" s="9"/>
      <c r="J42" s="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>
      <c r="A43" s="9"/>
      <c r="B43" s="86"/>
      <c r="C43" s="87"/>
      <c r="D43" s="13"/>
      <c r="E43" s="13"/>
      <c r="F43" s="13"/>
      <c r="G43" s="13"/>
      <c r="H43" s="13"/>
      <c r="I43" s="13"/>
      <c r="J43" s="13"/>
      <c r="K43" s="13"/>
      <c r="L43" s="1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>
      <c r="A44" s="9"/>
      <c r="B44" s="86"/>
      <c r="C44" s="87"/>
      <c r="D44" s="13"/>
      <c r="E44" s="13"/>
      <c r="F44" s="13"/>
      <c r="G44" s="13"/>
      <c r="H44" s="13"/>
      <c r="I44" s="13"/>
      <c r="J44" s="13"/>
      <c r="K44" s="13"/>
      <c r="L44" s="13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>
      <c r="A45" s="9"/>
      <c r="B45" s="86"/>
      <c r="C45" s="87"/>
      <c r="D45" s="13"/>
      <c r="E45" s="13"/>
      <c r="F45" s="13"/>
      <c r="G45" s="13"/>
      <c r="H45" s="13"/>
      <c r="I45" s="13"/>
      <c r="J45" s="13"/>
      <c r="K45" s="13"/>
      <c r="L45" s="13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>
      <c r="A46" s="9"/>
      <c r="B46" s="86"/>
      <c r="C46" s="87"/>
      <c r="D46" s="13"/>
      <c r="E46" s="13"/>
      <c r="F46" s="13"/>
      <c r="G46" s="13"/>
      <c r="H46" s="13"/>
      <c r="I46" s="13"/>
      <c r="J46" s="13"/>
      <c r="K46" s="13"/>
      <c r="L46" s="13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43.5" customHeight="1">
      <c r="A47" s="9"/>
      <c r="B47" s="86"/>
      <c r="C47" s="87" t="s">
        <v>206</v>
      </c>
      <c r="D47" s="13" t="s">
        <v>207</v>
      </c>
      <c r="E47" s="13" t="s">
        <v>208</v>
      </c>
      <c r="F47" s="13" t="s">
        <v>209</v>
      </c>
      <c r="G47" s="13" t="s">
        <v>210</v>
      </c>
      <c r="H47" s="13" t="s">
        <v>211</v>
      </c>
      <c r="I47" s="13" t="s">
        <v>212</v>
      </c>
      <c r="J47" s="13" t="s">
        <v>213</v>
      </c>
      <c r="K47" s="13" t="s">
        <v>214</v>
      </c>
      <c r="L47" s="13" t="s">
        <v>215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9"/>
      <c r="B48" s="90">
        <v>1.0</v>
      </c>
      <c r="C48" s="40" t="s">
        <v>26</v>
      </c>
      <c r="D48" s="35">
        <f t="shared" ref="D48:D62" si="1">COUNTIF($C$4:$C$44,C48)</f>
        <v>1</v>
      </c>
      <c r="E48" s="92">
        <f>'Asignación-Profesor'!D3-D48</f>
        <v>0</v>
      </c>
      <c r="F48" s="35">
        <f>'Asignación-Profesor'!D3</f>
        <v>1</v>
      </c>
      <c r="G48" s="35">
        <f>'Asignación-Profesor'!P3</f>
        <v>0</v>
      </c>
      <c r="H48" s="35">
        <f>'Asignación-Profesor'!Q3</f>
        <v>6</v>
      </c>
      <c r="I48" s="8"/>
      <c r="J48" s="8"/>
      <c r="K48" s="93" t="s">
        <v>228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9"/>
      <c r="B49" s="90">
        <v>2.0</v>
      </c>
      <c r="C49" s="38" t="s">
        <v>94</v>
      </c>
      <c r="D49" s="35">
        <f t="shared" si="1"/>
        <v>0</v>
      </c>
      <c r="E49" s="92">
        <f>'Asignación-Profesor'!D4-D49</f>
        <v>3</v>
      </c>
      <c r="F49" s="35">
        <f>'Asignación-Profesor'!D4</f>
        <v>3</v>
      </c>
      <c r="G49" s="35">
        <f>'Asignación-Profesor'!P4</f>
        <v>126</v>
      </c>
      <c r="H49" s="35">
        <f>'Asignación-Profesor'!Q4</f>
        <v>18</v>
      </c>
      <c r="I49" s="8"/>
      <c r="J49" s="8"/>
      <c r="K49" s="93" t="s">
        <v>239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9"/>
      <c r="B50" s="90">
        <v>3.0</v>
      </c>
      <c r="C50" s="38" t="s">
        <v>21</v>
      </c>
      <c r="D50" s="35">
        <f t="shared" si="1"/>
        <v>1</v>
      </c>
      <c r="E50" s="92">
        <f>'Asignación-Profesor'!D5-D50</f>
        <v>3</v>
      </c>
      <c r="F50" s="35">
        <f>'Asignación-Profesor'!D5</f>
        <v>4</v>
      </c>
      <c r="G50" s="35">
        <f>'Asignación-Profesor'!P5</f>
        <v>0</v>
      </c>
      <c r="H50" s="35">
        <f>'Asignación-Profesor'!Q5</f>
        <v>23</v>
      </c>
      <c r="I50" s="8"/>
      <c r="J50" s="8"/>
      <c r="K50" s="93" t="s">
        <v>239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9"/>
      <c r="B51" s="90">
        <v>4.0</v>
      </c>
      <c r="C51" s="40" t="s">
        <v>101</v>
      </c>
      <c r="D51" s="35">
        <f t="shared" si="1"/>
        <v>2</v>
      </c>
      <c r="E51" s="92">
        <f>'Asignación-Profesor'!D6-D51</f>
        <v>2</v>
      </c>
      <c r="F51" s="35">
        <f>'Asignación-Profesor'!D6</f>
        <v>4</v>
      </c>
      <c r="G51" s="35">
        <f>'Asignación-Profesor'!P6</f>
        <v>0</v>
      </c>
      <c r="H51" s="35">
        <f>'Asignación-Profesor'!Q6</f>
        <v>22</v>
      </c>
      <c r="I51" s="8"/>
      <c r="J51" s="8"/>
      <c r="K51" s="93" t="s">
        <v>239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9"/>
      <c r="B52" s="90">
        <v>5.0</v>
      </c>
      <c r="C52" s="40" t="s">
        <v>59</v>
      </c>
      <c r="D52" s="35">
        <f t="shared" si="1"/>
        <v>0</v>
      </c>
      <c r="E52" s="92">
        <f>'Asignación-Profesor'!D7-D52</f>
        <v>4</v>
      </c>
      <c r="F52" s="35">
        <f>'Asignación-Profesor'!D7</f>
        <v>4</v>
      </c>
      <c r="G52" s="35">
        <f>'Asignación-Profesor'!P7</f>
        <v>0</v>
      </c>
      <c r="H52" s="35">
        <f>'Asignación-Profesor'!Q7</f>
        <v>21</v>
      </c>
      <c r="I52" s="8"/>
      <c r="J52" s="8"/>
      <c r="K52" s="93" t="s">
        <v>239</v>
      </c>
      <c r="L52" s="103" t="s">
        <v>265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9"/>
      <c r="B53" s="90">
        <v>6.0</v>
      </c>
      <c r="C53" s="38" t="s">
        <v>78</v>
      </c>
      <c r="D53" s="35">
        <f t="shared" si="1"/>
        <v>0</v>
      </c>
      <c r="E53" s="92">
        <f>'Asignación-Profesor'!D8-D53</f>
        <v>4</v>
      </c>
      <c r="F53" s="35">
        <f>'Asignación-Profesor'!D8</f>
        <v>4</v>
      </c>
      <c r="G53" s="35">
        <f>'Asignación-Profesor'!P8</f>
        <v>0</v>
      </c>
      <c r="H53" s="35">
        <f>'Asignación-Profesor'!Q8</f>
        <v>23</v>
      </c>
      <c r="I53" s="89"/>
      <c r="J53" s="89"/>
      <c r="K53" s="93" t="s">
        <v>228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9"/>
      <c r="B54" s="90">
        <v>7.0</v>
      </c>
      <c r="C54" s="38" t="s">
        <v>127</v>
      </c>
      <c r="D54" s="35">
        <f t="shared" si="1"/>
        <v>0</v>
      </c>
      <c r="E54" s="92">
        <f>'Asignación-Profesor'!D9-D54</f>
        <v>4</v>
      </c>
      <c r="F54" s="35">
        <f>'Asignación-Profesor'!D9</f>
        <v>4</v>
      </c>
      <c r="G54" s="35">
        <f>'Asignación-Profesor'!P9</f>
        <v>0</v>
      </c>
      <c r="H54" s="35">
        <f>'Asignación-Profesor'!Q9</f>
        <v>21</v>
      </c>
      <c r="I54" s="105" t="s">
        <v>286</v>
      </c>
      <c r="J54" s="45" t="s">
        <v>288</v>
      </c>
      <c r="K54" s="93" t="s">
        <v>228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9"/>
      <c r="B55" s="90">
        <v>8.0</v>
      </c>
      <c r="C55" s="1" t="s">
        <v>68</v>
      </c>
      <c r="D55" s="35">
        <f t="shared" si="1"/>
        <v>2</v>
      </c>
      <c r="E55" s="92">
        <f>'Asignación-Profesor'!D10-D55</f>
        <v>0</v>
      </c>
      <c r="F55" s="35">
        <f>'Asignación-Profesor'!D10</f>
        <v>2</v>
      </c>
      <c r="G55" s="35">
        <f>'Asignación-Profesor'!P10</f>
        <v>0</v>
      </c>
      <c r="H55" s="35">
        <f>'Asignación-Profesor'!Q10</f>
        <v>11</v>
      </c>
      <c r="I55" s="8"/>
      <c r="J55" s="8"/>
      <c r="K55" s="93" t="s">
        <v>228</v>
      </c>
      <c r="L55" s="108" t="s">
        <v>296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9"/>
      <c r="B56" s="90">
        <v>9.0</v>
      </c>
      <c r="C56" s="1" t="s">
        <v>0</v>
      </c>
      <c r="D56" s="35">
        <f t="shared" si="1"/>
        <v>1</v>
      </c>
      <c r="E56" s="92">
        <f>'Asignación-Profesor'!D11-D56</f>
        <v>2</v>
      </c>
      <c r="F56" s="35">
        <f>'Asignación-Profesor'!D11</f>
        <v>3</v>
      </c>
      <c r="G56" s="35">
        <f>'Asignación-Profesor'!P11</f>
        <v>70</v>
      </c>
      <c r="H56" s="35">
        <f>'Asignación-Profesor'!Q11</f>
        <v>18</v>
      </c>
      <c r="I56" s="8"/>
      <c r="J56" s="8"/>
      <c r="K56" s="93" t="s">
        <v>228</v>
      </c>
      <c r="L56" s="103" t="s">
        <v>307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9"/>
      <c r="B57" s="90">
        <v>10.0</v>
      </c>
      <c r="C57" s="41" t="s">
        <v>53</v>
      </c>
      <c r="D57" s="35">
        <f t="shared" si="1"/>
        <v>1</v>
      </c>
      <c r="E57" s="92">
        <f>'Asignación-Profesor'!D12-D57</f>
        <v>2</v>
      </c>
      <c r="F57" s="35">
        <f>'Asignación-Profesor'!D12</f>
        <v>3</v>
      </c>
      <c r="G57" s="35">
        <f>'Asignación-Profesor'!P12</f>
        <v>0</v>
      </c>
      <c r="H57" s="35">
        <f>'Asignación-Profesor'!Q12</f>
        <v>16</v>
      </c>
      <c r="I57" s="8"/>
      <c r="J57" s="8"/>
      <c r="K57" s="93" t="s">
        <v>228</v>
      </c>
      <c r="L57" s="10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9"/>
      <c r="B58" s="90">
        <v>11.0</v>
      </c>
      <c r="C58" s="41" t="s">
        <v>35</v>
      </c>
      <c r="D58" s="35">
        <f t="shared" si="1"/>
        <v>1</v>
      </c>
      <c r="E58" s="92">
        <f>'Asignación-Profesor'!D13-D58</f>
        <v>3</v>
      </c>
      <c r="F58" s="35">
        <f>'Asignación-Profesor'!D13</f>
        <v>4</v>
      </c>
      <c r="G58" s="35">
        <f>'Asignación-Profesor'!P13</f>
        <v>80</v>
      </c>
      <c r="H58" s="35">
        <f>'Asignación-Profesor'!Q13</f>
        <v>19</v>
      </c>
      <c r="I58" s="89"/>
      <c r="J58" s="89"/>
      <c r="K58" s="93" t="s">
        <v>228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9"/>
      <c r="B59" s="90">
        <v>12.0</v>
      </c>
      <c r="C59" s="1" t="s">
        <v>322</v>
      </c>
      <c r="D59" s="35">
        <f t="shared" si="1"/>
        <v>0</v>
      </c>
      <c r="E59" s="92">
        <f>'Asignación-Profesor'!D14-D59</f>
        <v>4</v>
      </c>
      <c r="F59" s="35">
        <f>'Asignación-Profesor'!D14</f>
        <v>4</v>
      </c>
      <c r="G59" s="35">
        <f>'Asignación-Profesor'!P14</f>
        <v>120</v>
      </c>
      <c r="H59" s="35">
        <f>'Asignación-Profesor'!Q14</f>
        <v>21</v>
      </c>
      <c r="I59" s="89"/>
      <c r="J59" s="89"/>
      <c r="K59" s="93" t="s">
        <v>228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9"/>
      <c r="B60" s="120">
        <v>13.0</v>
      </c>
      <c r="C60" s="33" t="s">
        <v>31</v>
      </c>
      <c r="D60" s="35">
        <f t="shared" si="1"/>
        <v>2</v>
      </c>
      <c r="E60" s="92">
        <f>'Asignación-Profesor'!D15-D60</f>
        <v>2</v>
      </c>
      <c r="F60" s="35">
        <f>'Asignación-Profesor'!D15</f>
        <v>4</v>
      </c>
      <c r="G60" s="35">
        <f>'Asignación-Profesor'!P15</f>
        <v>70</v>
      </c>
      <c r="H60" s="35">
        <f>'Asignación-Profesor'!Q15</f>
        <v>24</v>
      </c>
      <c r="I60" s="89"/>
      <c r="J60" s="89"/>
      <c r="K60" s="93" t="s">
        <v>228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9"/>
      <c r="B61" s="120">
        <v>14.0</v>
      </c>
      <c r="C61" s="1" t="s">
        <v>107</v>
      </c>
      <c r="D61" s="35">
        <f t="shared" si="1"/>
        <v>3</v>
      </c>
      <c r="E61" s="92">
        <f>'Asignación-Profesor'!D16-D61</f>
        <v>2</v>
      </c>
      <c r="F61" s="35">
        <f>'Asignación-Profesor'!D16</f>
        <v>5</v>
      </c>
      <c r="G61" s="35">
        <f>'Asignación-Profesor'!P16</f>
        <v>0</v>
      </c>
      <c r="H61" s="35">
        <f>'Asignación-Profesor'!Q16</f>
        <v>27</v>
      </c>
      <c r="I61" s="45"/>
      <c r="J61" s="45"/>
      <c r="K61" s="93" t="s">
        <v>239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3.5" customHeight="1">
      <c r="A62" s="8"/>
      <c r="B62" s="120">
        <v>15.0</v>
      </c>
      <c r="C62" s="57" t="s">
        <v>81</v>
      </c>
      <c r="D62" s="35">
        <f t="shared" si="1"/>
        <v>2</v>
      </c>
      <c r="E62" s="92">
        <f>'Asignación-Profesor'!D17-D62</f>
        <v>3</v>
      </c>
      <c r="F62" s="35">
        <f>'Asignación-Profesor'!D17</f>
        <v>5</v>
      </c>
      <c r="G62" s="35">
        <f>'Asignación-Profesor'!P17</f>
        <v>120</v>
      </c>
      <c r="H62" s="35">
        <f>'Asignación-Profesor'!Q17</f>
        <v>23</v>
      </c>
      <c r="K62" s="93" t="s">
        <v>239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3.5" customHeight="1">
      <c r="C63" s="123"/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">
    <mergeCell ref="A1:F1"/>
    <mergeCell ref="G35:J35"/>
  </mergeCells>
  <conditionalFormatting sqref="F48:F62">
    <cfRule type="cellIs" dxfId="0" priority="1" operator="lessThan">
      <formula>3</formula>
    </cfRule>
  </conditionalFormatting>
  <conditionalFormatting sqref="F48:F62">
    <cfRule type="cellIs" dxfId="1" priority="2" operator="equal">
      <formula>3</formula>
    </cfRule>
  </conditionalFormatting>
  <conditionalFormatting sqref="F48:F62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53.14"/>
    <col customWidth="1" min="3" max="3" width="43.57"/>
    <col customWidth="1" min="4" max="4" width="16.43"/>
    <col customWidth="1" min="5" max="5" width="9.43"/>
    <col customWidth="1" min="6" max="6" width="10.57"/>
    <col customWidth="1" min="7" max="7" width="17.0"/>
    <col customWidth="1" min="8" max="8" width="45.71"/>
    <col customWidth="1" min="9" max="9" width="12.14"/>
    <col customWidth="1" min="10" max="10" width="18.57"/>
    <col customWidth="1" min="11" max="11" width="21.29"/>
    <col customWidth="1" min="12" max="12" width="28.29"/>
    <col customWidth="1" min="13" max="13" width="44.0"/>
    <col customWidth="1" min="14" max="14" width="15.57"/>
    <col customWidth="1" min="15" max="30" width="9.0"/>
  </cols>
  <sheetData>
    <row r="1">
      <c r="A1" s="1" t="s">
        <v>0</v>
      </c>
      <c r="G1" s="3"/>
      <c r="H1" s="3"/>
      <c r="I1" s="5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11"/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5"/>
      <c r="H2" s="15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9"/>
      <c r="AB2" s="19"/>
      <c r="AC2" s="19"/>
      <c r="AD2" s="19"/>
    </row>
    <row r="3" ht="15.0" customHeight="1">
      <c r="A3" s="9"/>
      <c r="B3" s="20" t="s">
        <v>7</v>
      </c>
      <c r="C3" s="23"/>
      <c r="D3" s="23"/>
      <c r="E3" s="23"/>
      <c r="F3" s="2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ht="13.5" customHeight="1">
      <c r="A4" s="9"/>
      <c r="B4" s="28" t="s">
        <v>11</v>
      </c>
      <c r="C4" s="31" t="s">
        <v>13</v>
      </c>
      <c r="D4" s="34" t="s">
        <v>15</v>
      </c>
      <c r="E4" s="36">
        <v>6.0</v>
      </c>
      <c r="F4" s="36">
        <v>35.0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ht="13.5" customHeight="1">
      <c r="A5" s="9"/>
      <c r="B5" s="28" t="s">
        <v>20</v>
      </c>
      <c r="C5" s="38" t="s">
        <v>22</v>
      </c>
      <c r="D5" s="34" t="s">
        <v>15</v>
      </c>
      <c r="E5" s="36">
        <v>5.0</v>
      </c>
      <c r="F5" s="36">
        <v>35.0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3.5" customHeight="1">
      <c r="A6" s="9"/>
      <c r="B6" s="28" t="s">
        <v>30</v>
      </c>
      <c r="C6" s="33" t="s">
        <v>31</v>
      </c>
      <c r="D6" s="34" t="s">
        <v>23</v>
      </c>
      <c r="E6" s="36">
        <v>6.0</v>
      </c>
      <c r="F6" s="36">
        <v>35.0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ht="13.5" customHeight="1">
      <c r="A7" s="9"/>
      <c r="B7" s="28" t="s">
        <v>36</v>
      </c>
      <c r="C7" s="31" t="s">
        <v>28</v>
      </c>
      <c r="D7" s="34" t="s">
        <v>15</v>
      </c>
      <c r="E7" s="36">
        <v>5.0</v>
      </c>
      <c r="F7" s="36">
        <v>35.0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ht="13.5" customHeight="1">
      <c r="A8" s="9"/>
      <c r="B8" s="44" t="s">
        <v>27</v>
      </c>
      <c r="C8" s="44" t="s">
        <v>40</v>
      </c>
      <c r="D8" s="34" t="s">
        <v>41</v>
      </c>
      <c r="E8" s="36">
        <v>4.0</v>
      </c>
      <c r="F8" s="36">
        <v>35.0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ht="13.5" customHeight="1">
      <c r="A9" s="9"/>
      <c r="B9" s="47"/>
      <c r="C9" s="47"/>
      <c r="D9" s="35"/>
      <c r="E9" s="35"/>
      <c r="F9" s="35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ht="15.0" customHeight="1">
      <c r="A10" s="9"/>
      <c r="B10" s="22" t="s">
        <v>50</v>
      </c>
      <c r="C10" s="24"/>
      <c r="D10" s="27"/>
      <c r="E10" s="35"/>
      <c r="F10" s="35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ht="13.5" customHeight="1">
      <c r="A11" s="9"/>
      <c r="B11" s="28" t="s">
        <v>11</v>
      </c>
      <c r="C11" s="31" t="s">
        <v>13</v>
      </c>
      <c r="D11" s="34" t="s">
        <v>15</v>
      </c>
      <c r="E11" s="36">
        <v>6.0</v>
      </c>
      <c r="F11" s="36">
        <v>35.0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3.5" customHeight="1">
      <c r="A12" s="9"/>
      <c r="B12" s="28" t="s">
        <v>20</v>
      </c>
      <c r="C12" s="38" t="s">
        <v>22</v>
      </c>
      <c r="D12" s="34" t="s">
        <v>15</v>
      </c>
      <c r="E12" s="36">
        <v>5.0</v>
      </c>
      <c r="F12" s="36">
        <v>35.0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ht="13.5" customHeight="1">
      <c r="A13" s="9"/>
      <c r="B13" s="28" t="s">
        <v>30</v>
      </c>
      <c r="C13" s="1" t="s">
        <v>0</v>
      </c>
      <c r="D13" s="34" t="s">
        <v>23</v>
      </c>
      <c r="E13" s="36">
        <v>6.0</v>
      </c>
      <c r="F13" s="36">
        <v>35.0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ht="13.5" customHeight="1">
      <c r="A14" s="9"/>
      <c r="B14" s="28" t="s">
        <v>36</v>
      </c>
      <c r="C14" s="31" t="s">
        <v>28</v>
      </c>
      <c r="D14" s="34" t="s">
        <v>15</v>
      </c>
      <c r="E14" s="36">
        <v>5.0</v>
      </c>
      <c r="F14" s="36">
        <v>35.0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ht="13.5" customHeight="1">
      <c r="A15" s="9"/>
      <c r="B15" s="44" t="s">
        <v>27</v>
      </c>
      <c r="C15" s="44" t="s">
        <v>40</v>
      </c>
      <c r="D15" s="34" t="s">
        <v>41</v>
      </c>
      <c r="E15" s="36">
        <v>4.0</v>
      </c>
      <c r="F15" s="36">
        <v>35.0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ht="13.5" customHeight="1">
      <c r="A16" s="9"/>
      <c r="B16" s="47"/>
      <c r="C16" s="47"/>
      <c r="D16" s="35"/>
      <c r="E16" s="35"/>
      <c r="F16" s="35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ht="15.0" customHeight="1">
      <c r="A17" s="9"/>
      <c r="B17" s="22" t="s">
        <v>64</v>
      </c>
      <c r="C17" s="24"/>
      <c r="D17" s="27"/>
      <c r="E17" s="35"/>
      <c r="F17" s="35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ht="13.5" customHeight="1">
      <c r="A18" s="9"/>
      <c r="B18" s="28" t="s">
        <v>11</v>
      </c>
      <c r="C18" s="31" t="s">
        <v>13</v>
      </c>
      <c r="D18" s="34" t="s">
        <v>15</v>
      </c>
      <c r="E18" s="36">
        <v>6.0</v>
      </c>
      <c r="F18" s="36">
        <v>35.0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ht="13.5" customHeight="1">
      <c r="A19" s="9"/>
      <c r="B19" s="28" t="s">
        <v>20</v>
      </c>
      <c r="C19" s="1" t="s">
        <v>66</v>
      </c>
      <c r="D19" s="34" t="s">
        <v>15</v>
      </c>
      <c r="E19" s="36">
        <v>5.0</v>
      </c>
      <c r="F19" s="36">
        <v>35.0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ht="13.5" customHeight="1">
      <c r="A20" s="9"/>
      <c r="B20" s="28" t="s">
        <v>30</v>
      </c>
      <c r="C20" s="1" t="s">
        <v>0</v>
      </c>
      <c r="D20" s="34" t="s">
        <v>23</v>
      </c>
      <c r="E20" s="36">
        <v>6.0</v>
      </c>
      <c r="F20" s="36">
        <v>35.0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ht="13.5" customHeight="1">
      <c r="A21" s="9"/>
      <c r="B21" s="28" t="s">
        <v>36</v>
      </c>
      <c r="C21" s="31" t="s">
        <v>69</v>
      </c>
      <c r="D21" s="34" t="s">
        <v>15</v>
      </c>
      <c r="E21" s="36">
        <v>5.0</v>
      </c>
      <c r="F21" s="36">
        <v>35.0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ht="13.5" customHeight="1">
      <c r="A22" s="9"/>
      <c r="B22" s="44" t="s">
        <v>27</v>
      </c>
      <c r="C22" s="44" t="s">
        <v>71</v>
      </c>
      <c r="D22" s="34" t="s">
        <v>56</v>
      </c>
      <c r="E22" s="36">
        <v>4.0</v>
      </c>
      <c r="F22" s="36">
        <v>35.0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ht="13.5" customHeight="1">
      <c r="A23" s="9"/>
      <c r="B23" s="47"/>
      <c r="C23" s="47"/>
      <c r="D23" s="35"/>
      <c r="E23" s="35"/>
      <c r="F23" s="3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ht="13.5" customHeight="1">
      <c r="A24" s="9"/>
      <c r="B24" s="22" t="s">
        <v>73</v>
      </c>
      <c r="C24" s="24"/>
      <c r="D24" s="27"/>
      <c r="E24" s="35"/>
      <c r="F24" s="35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ht="13.5" customHeight="1">
      <c r="A25" s="9"/>
      <c r="B25" s="28" t="s">
        <v>11</v>
      </c>
      <c r="C25" s="31" t="s">
        <v>77</v>
      </c>
      <c r="D25" s="34" t="s">
        <v>15</v>
      </c>
      <c r="E25" s="36">
        <v>6.0</v>
      </c>
      <c r="F25" s="36">
        <v>35.0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ht="13.5" customHeight="1">
      <c r="A26" s="9"/>
      <c r="B26" s="28" t="s">
        <v>20</v>
      </c>
      <c r="C26" s="1" t="s">
        <v>66</v>
      </c>
      <c r="D26" s="34" t="s">
        <v>15</v>
      </c>
      <c r="E26" s="36">
        <v>5.0</v>
      </c>
      <c r="F26" s="36">
        <v>35.0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ht="13.5" customHeight="1">
      <c r="A27" s="9"/>
      <c r="B27" s="28" t="s">
        <v>30</v>
      </c>
      <c r="C27" s="33" t="s">
        <v>31</v>
      </c>
      <c r="D27" s="34" t="s">
        <v>23</v>
      </c>
      <c r="E27" s="36">
        <v>6.0</v>
      </c>
      <c r="F27" s="36">
        <v>35.0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ht="13.5" customHeight="1">
      <c r="A28" s="9"/>
      <c r="B28" s="28" t="s">
        <v>36</v>
      </c>
      <c r="C28" s="31" t="s">
        <v>69</v>
      </c>
      <c r="D28" s="34" t="s">
        <v>15</v>
      </c>
      <c r="E28" s="36">
        <v>5.0</v>
      </c>
      <c r="F28" s="36">
        <v>35.0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ht="13.5" customHeight="1">
      <c r="A29" s="9"/>
      <c r="B29" s="44" t="s">
        <v>27</v>
      </c>
      <c r="C29" s="44" t="s">
        <v>84</v>
      </c>
      <c r="D29" s="34" t="s">
        <v>58</v>
      </c>
      <c r="E29" s="36">
        <v>4.0</v>
      </c>
      <c r="F29" s="36">
        <v>35.0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ht="13.5" customHeight="1">
      <c r="A30" s="9"/>
      <c r="B30" s="47"/>
      <c r="C30" s="47"/>
      <c r="D30" s="35"/>
      <c r="E30" s="35"/>
      <c r="F30" s="35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ht="13.5" customHeight="1">
      <c r="A31" s="9"/>
      <c r="B31" s="22" t="s">
        <v>86</v>
      </c>
      <c r="C31" s="59"/>
      <c r="D31" s="27"/>
      <c r="E31" s="61"/>
      <c r="F31" s="61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ht="13.5" customHeight="1">
      <c r="A32" s="9"/>
      <c r="B32" s="28" t="s">
        <v>88</v>
      </c>
      <c r="C32" s="31" t="s">
        <v>89</v>
      </c>
      <c r="D32" s="34" t="s">
        <v>15</v>
      </c>
      <c r="E32" s="36">
        <v>6.0</v>
      </c>
      <c r="F32" s="36">
        <v>42.0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ht="13.5" customHeight="1">
      <c r="A33" s="9"/>
      <c r="B33" s="28" t="s">
        <v>91</v>
      </c>
      <c r="C33" s="38" t="s">
        <v>94</v>
      </c>
      <c r="D33" s="34" t="s">
        <v>23</v>
      </c>
      <c r="E33" s="36">
        <v>6.0</v>
      </c>
      <c r="F33" s="36">
        <v>42.0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ht="13.5" customHeight="1">
      <c r="A34" s="9"/>
      <c r="B34" s="28" t="s">
        <v>95</v>
      </c>
      <c r="C34" s="1" t="s">
        <v>96</v>
      </c>
      <c r="D34" s="34" t="s">
        <v>15</v>
      </c>
      <c r="E34" s="36">
        <v>5.0</v>
      </c>
      <c r="F34" s="36">
        <v>42.0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ht="13.5" customHeight="1">
      <c r="A35" s="9"/>
      <c r="B35" s="28" t="s">
        <v>99</v>
      </c>
      <c r="C35" s="66"/>
      <c r="D35" s="34"/>
      <c r="E35" s="36">
        <v>4.0</v>
      </c>
      <c r="F35" s="36">
        <v>42.0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ht="13.5" customHeight="1">
      <c r="A36" s="9"/>
      <c r="B36" s="28" t="s">
        <v>104</v>
      </c>
      <c r="C36" s="38" t="s">
        <v>105</v>
      </c>
      <c r="D36" s="36" t="s">
        <v>15</v>
      </c>
      <c r="E36" s="36">
        <v>4.0</v>
      </c>
      <c r="F36" s="36">
        <v>42.0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ht="13.5" customHeight="1">
      <c r="A37" s="9"/>
      <c r="B37" s="60"/>
      <c r="C37" s="69"/>
      <c r="D37" s="35"/>
      <c r="E37" s="35"/>
      <c r="F37" s="35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ht="13.5" customHeight="1">
      <c r="A38" s="9"/>
      <c r="B38" s="22" t="s">
        <v>110</v>
      </c>
      <c r="C38" s="24"/>
      <c r="D38" s="27"/>
      <c r="E38" s="61"/>
      <c r="F38" s="61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ht="13.5" customHeight="1">
      <c r="A39" s="9"/>
      <c r="B39" s="28" t="s">
        <v>88</v>
      </c>
      <c r="C39" s="31" t="s">
        <v>89</v>
      </c>
      <c r="D39" s="34" t="s">
        <v>15</v>
      </c>
      <c r="E39" s="36">
        <v>6.0</v>
      </c>
      <c r="F39" s="36">
        <v>42.0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ht="13.5" customHeight="1">
      <c r="A40" s="9"/>
      <c r="B40" s="28" t="s">
        <v>91</v>
      </c>
      <c r="C40" s="38" t="s">
        <v>94</v>
      </c>
      <c r="D40" s="34" t="s">
        <v>23</v>
      </c>
      <c r="E40" s="36">
        <v>6.0</v>
      </c>
      <c r="F40" s="36">
        <v>42.0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ht="13.5" customHeight="1">
      <c r="A41" s="9"/>
      <c r="B41" s="28" t="s">
        <v>95</v>
      </c>
      <c r="C41" s="1" t="s">
        <v>96</v>
      </c>
      <c r="D41" s="34" t="s">
        <v>15</v>
      </c>
      <c r="E41" s="36">
        <v>5.0</v>
      </c>
      <c r="F41" s="36">
        <v>42.0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ht="13.5" customHeight="1">
      <c r="A42" s="9"/>
      <c r="B42" s="28" t="s">
        <v>99</v>
      </c>
      <c r="C42" s="66"/>
      <c r="D42" s="34"/>
      <c r="E42" s="36">
        <v>4.0</v>
      </c>
      <c r="F42" s="36">
        <v>42.0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ht="13.5" customHeight="1">
      <c r="A43" s="9"/>
      <c r="B43" s="28" t="s">
        <v>104</v>
      </c>
      <c r="C43" s="38" t="s">
        <v>118</v>
      </c>
      <c r="D43" s="36" t="s">
        <v>15</v>
      </c>
      <c r="E43" s="36">
        <v>4.0</v>
      </c>
      <c r="F43" s="36">
        <v>42.0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ht="13.5" customHeight="1">
      <c r="A44" s="9"/>
      <c r="B44" s="62"/>
      <c r="C44" s="62"/>
      <c r="D44" s="35"/>
      <c r="E44" s="35"/>
      <c r="F44" s="35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ht="13.5" customHeight="1">
      <c r="A45" s="9"/>
      <c r="B45" s="22" t="s">
        <v>119</v>
      </c>
      <c r="C45" s="24"/>
      <c r="D45" s="27"/>
      <c r="E45" s="61"/>
      <c r="F45" s="61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ht="13.5" customHeight="1">
      <c r="A46" s="9"/>
      <c r="B46" s="28" t="s">
        <v>88</v>
      </c>
      <c r="C46" s="31" t="s">
        <v>89</v>
      </c>
      <c r="D46" s="34" t="s">
        <v>15</v>
      </c>
      <c r="E46" s="36">
        <v>6.0</v>
      </c>
      <c r="F46" s="36">
        <v>42.0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ht="13.5" customHeight="1">
      <c r="A47" s="9"/>
      <c r="B47" s="28" t="s">
        <v>91</v>
      </c>
      <c r="C47" s="38" t="s">
        <v>94</v>
      </c>
      <c r="D47" s="34" t="s">
        <v>23</v>
      </c>
      <c r="E47" s="36">
        <v>6.0</v>
      </c>
      <c r="F47" s="36">
        <v>42.0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ht="13.5" customHeight="1">
      <c r="A48" s="9"/>
      <c r="B48" s="28" t="s">
        <v>95</v>
      </c>
      <c r="C48" s="38" t="s">
        <v>126</v>
      </c>
      <c r="D48" s="34" t="s">
        <v>15</v>
      </c>
      <c r="E48" s="36">
        <v>5.0</v>
      </c>
      <c r="F48" s="36">
        <v>42.0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ht="13.5" customHeight="1">
      <c r="A49" s="9"/>
      <c r="B49" s="28" t="s">
        <v>99</v>
      </c>
      <c r="C49" s="66"/>
      <c r="D49" s="34"/>
      <c r="E49" s="36">
        <v>4.0</v>
      </c>
      <c r="F49" s="36">
        <v>42.0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ht="13.5" customHeight="1">
      <c r="A50" s="9"/>
      <c r="B50" s="28" t="s">
        <v>104</v>
      </c>
      <c r="C50" s="38" t="s">
        <v>118</v>
      </c>
      <c r="D50" s="36" t="s">
        <v>15</v>
      </c>
      <c r="E50" s="36">
        <v>4.0</v>
      </c>
      <c r="F50" s="36">
        <v>42.0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ht="13.5" customHeight="1">
      <c r="A51" s="9"/>
      <c r="B51" s="60"/>
      <c r="C51" s="47"/>
      <c r="D51" s="35"/>
      <c r="E51" s="35"/>
      <c r="F51" s="35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ht="13.5" customHeight="1">
      <c r="A52" s="9"/>
      <c r="B52" s="22" t="s">
        <v>130</v>
      </c>
      <c r="C52" s="24"/>
      <c r="D52" s="27"/>
      <c r="E52" s="61"/>
      <c r="F52" s="61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ht="13.5" customHeight="1">
      <c r="A53" s="9"/>
      <c r="B53" s="28" t="s">
        <v>133</v>
      </c>
      <c r="C53" s="31" t="s">
        <v>134</v>
      </c>
      <c r="D53" s="34" t="s">
        <v>15</v>
      </c>
      <c r="E53" s="36">
        <v>6.0</v>
      </c>
      <c r="F53" s="36">
        <v>38.0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ht="13.5" customHeight="1">
      <c r="A54" s="9"/>
      <c r="B54" s="28" t="s">
        <v>135</v>
      </c>
      <c r="C54" s="1" t="s">
        <v>96</v>
      </c>
      <c r="D54" s="34" t="s">
        <v>15</v>
      </c>
      <c r="E54" s="36">
        <v>5.0</v>
      </c>
      <c r="F54" s="36">
        <v>38.0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ht="13.5" customHeight="1">
      <c r="A55" s="9"/>
      <c r="B55" s="28" t="s">
        <v>136</v>
      </c>
      <c r="C55" s="31" t="s">
        <v>137</v>
      </c>
      <c r="D55" s="34" t="s">
        <v>15</v>
      </c>
      <c r="E55" s="36">
        <v>5.0</v>
      </c>
      <c r="F55" s="36">
        <v>38.0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ht="13.5" customHeight="1">
      <c r="A56" s="9"/>
      <c r="B56" s="28" t="s">
        <v>138</v>
      </c>
      <c r="C56" s="31" t="s">
        <v>139</v>
      </c>
      <c r="D56" s="34" t="s">
        <v>15</v>
      </c>
      <c r="E56" s="36">
        <v>5.0</v>
      </c>
      <c r="F56" s="36">
        <v>38.0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ht="13.5" customHeight="1">
      <c r="A57" s="9"/>
      <c r="B57" s="28" t="s">
        <v>141</v>
      </c>
      <c r="C57" s="40" t="s">
        <v>142</v>
      </c>
      <c r="D57" s="34" t="s">
        <v>15</v>
      </c>
      <c r="E57" s="36">
        <v>4.0</v>
      </c>
      <c r="F57" s="36">
        <v>38.0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ht="13.5" customHeight="1">
      <c r="A58" s="9"/>
      <c r="B58" s="60"/>
      <c r="C58" s="47"/>
      <c r="D58" s="35"/>
      <c r="E58" s="35"/>
      <c r="F58" s="35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ht="13.5" customHeight="1">
      <c r="A59" s="9"/>
      <c r="B59" s="22" t="s">
        <v>145</v>
      </c>
      <c r="C59" s="24"/>
      <c r="D59" s="27"/>
      <c r="E59" s="61"/>
      <c r="F59" s="61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ht="13.5" customHeight="1">
      <c r="A60" s="9"/>
      <c r="B60" s="28" t="s">
        <v>133</v>
      </c>
      <c r="C60" s="31" t="s">
        <v>134</v>
      </c>
      <c r="D60" s="34" t="s">
        <v>15</v>
      </c>
      <c r="E60" s="36">
        <v>6.0</v>
      </c>
      <c r="F60" s="36">
        <v>38.0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ht="13.5" customHeight="1">
      <c r="A61" s="9"/>
      <c r="B61" s="28" t="s">
        <v>135</v>
      </c>
      <c r="C61" s="1" t="s">
        <v>96</v>
      </c>
      <c r="D61" s="34" t="s">
        <v>15</v>
      </c>
      <c r="E61" s="36">
        <v>5.0</v>
      </c>
      <c r="F61" s="36">
        <v>38.0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ht="13.5" customHeight="1">
      <c r="A62" s="9"/>
      <c r="B62" s="28" t="s">
        <v>136</v>
      </c>
      <c r="C62" s="31" t="s">
        <v>137</v>
      </c>
      <c r="D62" s="34" t="s">
        <v>15</v>
      </c>
      <c r="E62" s="36">
        <v>5.0</v>
      </c>
      <c r="F62" s="36">
        <v>38.0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ht="13.5" customHeight="1">
      <c r="A63" s="9"/>
      <c r="B63" s="28" t="s">
        <v>138</v>
      </c>
      <c r="C63" s="31" t="s">
        <v>139</v>
      </c>
      <c r="D63" s="34" t="s">
        <v>15</v>
      </c>
      <c r="E63" s="36">
        <v>5.0</v>
      </c>
      <c r="F63" s="36">
        <v>38.0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ht="13.5" customHeight="1">
      <c r="A64" s="9"/>
      <c r="B64" s="28" t="s">
        <v>141</v>
      </c>
      <c r="C64" s="40" t="s">
        <v>142</v>
      </c>
      <c r="D64" s="34" t="s">
        <v>15</v>
      </c>
      <c r="E64" s="36">
        <v>4.0</v>
      </c>
      <c r="F64" s="36">
        <v>38.0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ht="13.5" customHeight="1">
      <c r="A65" s="9"/>
      <c r="B65" s="78"/>
      <c r="C65" s="73"/>
      <c r="D65" s="74"/>
      <c r="E65" s="35"/>
      <c r="F65" s="35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ht="13.5" customHeight="1">
      <c r="A66" s="9"/>
      <c r="B66" s="22" t="s">
        <v>153</v>
      </c>
      <c r="C66" s="24"/>
      <c r="D66" s="27"/>
      <c r="E66" s="61"/>
      <c r="F66" s="61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ht="13.5" customHeight="1">
      <c r="A67" s="9"/>
      <c r="B67" s="28" t="s">
        <v>133</v>
      </c>
      <c r="C67" s="31" t="s">
        <v>134</v>
      </c>
      <c r="D67" s="34" t="s">
        <v>15</v>
      </c>
      <c r="E67" s="36">
        <v>6.0</v>
      </c>
      <c r="F67" s="36">
        <v>38.0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ht="13.5" customHeight="1">
      <c r="A68" s="9"/>
      <c r="B68" s="28" t="s">
        <v>135</v>
      </c>
      <c r="C68" s="1" t="s">
        <v>96</v>
      </c>
      <c r="D68" s="34" t="s">
        <v>15</v>
      </c>
      <c r="E68" s="36">
        <v>5.0</v>
      </c>
      <c r="F68" s="36">
        <v>38.0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ht="13.5" customHeight="1">
      <c r="A69" s="9"/>
      <c r="B69" s="28" t="s">
        <v>136</v>
      </c>
      <c r="C69" s="31" t="s">
        <v>137</v>
      </c>
      <c r="D69" s="34" t="s">
        <v>15</v>
      </c>
      <c r="E69" s="36">
        <v>5.0</v>
      </c>
      <c r="F69" s="36">
        <v>38.0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ht="13.5" customHeight="1">
      <c r="A70" s="9"/>
      <c r="B70" s="28" t="s">
        <v>138</v>
      </c>
      <c r="C70" s="31" t="s">
        <v>139</v>
      </c>
      <c r="D70" s="34" t="s">
        <v>15</v>
      </c>
      <c r="E70" s="36">
        <v>5.0</v>
      </c>
      <c r="F70" s="36">
        <v>38.0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ht="13.5" customHeight="1">
      <c r="A71" s="9"/>
      <c r="B71" s="28" t="s">
        <v>141</v>
      </c>
      <c r="C71" s="40" t="s">
        <v>142</v>
      </c>
      <c r="D71" s="34" t="s">
        <v>15</v>
      </c>
      <c r="E71" s="36">
        <v>4.0</v>
      </c>
      <c r="F71" s="36">
        <v>38.0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ht="15.75" customHeight="1"/>
    <row r="73" ht="15.0" customHeight="1">
      <c r="A73" s="9"/>
      <c r="B73" s="22" t="s">
        <v>165</v>
      </c>
      <c r="C73" s="24"/>
      <c r="D73" s="27"/>
      <c r="E73" s="61"/>
      <c r="F73" s="61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ht="15.0" customHeight="1">
      <c r="A74" s="9"/>
      <c r="B74" s="28" t="s">
        <v>169</v>
      </c>
      <c r="C74" s="38" t="s">
        <v>118</v>
      </c>
      <c r="D74" s="34" t="s">
        <v>15</v>
      </c>
      <c r="E74" s="36">
        <v>6.0</v>
      </c>
      <c r="F74" s="36">
        <v>37.0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ht="15.0" customHeight="1">
      <c r="A75" s="9"/>
      <c r="B75" s="28" t="s">
        <v>171</v>
      </c>
      <c r="C75" s="33" t="s">
        <v>172</v>
      </c>
      <c r="D75" s="34" t="s">
        <v>15</v>
      </c>
      <c r="E75" s="36">
        <v>5.0</v>
      </c>
      <c r="F75" s="36">
        <v>37.0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ht="15.0" customHeight="1">
      <c r="A76" s="9"/>
      <c r="B76" s="28" t="s">
        <v>177</v>
      </c>
      <c r="C76" s="31" t="s">
        <v>178</v>
      </c>
      <c r="D76" s="34" t="s">
        <v>15</v>
      </c>
      <c r="E76" s="36">
        <v>5.0</v>
      </c>
      <c r="F76" s="36">
        <v>37.0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ht="15.0" customHeight="1">
      <c r="A77" s="9"/>
      <c r="B77" s="28" t="s">
        <v>180</v>
      </c>
      <c r="C77" s="1" t="s">
        <v>19</v>
      </c>
      <c r="D77" s="34" t="s">
        <v>15</v>
      </c>
      <c r="E77" s="36">
        <v>5.0</v>
      </c>
      <c r="F77" s="36">
        <v>37.0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>
      <c r="A78" s="9"/>
      <c r="B78" s="28" t="s">
        <v>183</v>
      </c>
      <c r="C78" s="1" t="s">
        <v>66</v>
      </c>
      <c r="D78" s="34" t="s">
        <v>15</v>
      </c>
      <c r="E78" s="36">
        <v>4.0</v>
      </c>
      <c r="F78" s="36">
        <v>37.0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ht="15.0" customHeight="1">
      <c r="A79" s="9"/>
      <c r="B79" s="62"/>
      <c r="C79" s="47"/>
      <c r="D79" s="35"/>
      <c r="E79" s="35"/>
      <c r="F79" s="35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ht="15.0" customHeight="1">
      <c r="A80" s="9"/>
      <c r="B80" s="22" t="s">
        <v>197</v>
      </c>
      <c r="C80" s="24"/>
      <c r="D80" s="27"/>
      <c r="E80" s="61"/>
      <c r="F80" s="61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ht="15.0" customHeight="1">
      <c r="A81" s="9"/>
      <c r="B81" s="28" t="s">
        <v>169</v>
      </c>
      <c r="C81" s="31" t="s">
        <v>139</v>
      </c>
      <c r="D81" s="34" t="s">
        <v>15</v>
      </c>
      <c r="E81" s="36">
        <v>6.0</v>
      </c>
      <c r="F81" s="36">
        <v>37.0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ht="15.0" customHeight="1">
      <c r="A82" s="9"/>
      <c r="B82" s="28" t="s">
        <v>171</v>
      </c>
      <c r="C82" s="33" t="s">
        <v>172</v>
      </c>
      <c r="D82" s="34" t="s">
        <v>15</v>
      </c>
      <c r="E82" s="36">
        <v>5.0</v>
      </c>
      <c r="F82" s="36">
        <v>37.0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ht="15.0" customHeight="1">
      <c r="A83" s="9"/>
      <c r="B83" s="28" t="s">
        <v>177</v>
      </c>
      <c r="C83" s="31" t="s">
        <v>178</v>
      </c>
      <c r="D83" s="34" t="s">
        <v>15</v>
      </c>
      <c r="E83" s="36">
        <v>5.0</v>
      </c>
      <c r="F83" s="36">
        <v>37.0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ht="15.0" customHeight="1">
      <c r="A84" s="9"/>
      <c r="B84" s="28" t="s">
        <v>180</v>
      </c>
      <c r="C84" s="38" t="s">
        <v>201</v>
      </c>
      <c r="D84" s="34" t="s">
        <v>15</v>
      </c>
      <c r="E84" s="36">
        <v>5.0</v>
      </c>
      <c r="F84" s="36">
        <v>37.0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>
      <c r="A85" s="9"/>
      <c r="B85" s="28" t="s">
        <v>183</v>
      </c>
      <c r="C85" s="1" t="s">
        <v>66</v>
      </c>
      <c r="D85" s="34" t="s">
        <v>15</v>
      </c>
      <c r="E85" s="36">
        <v>4.0</v>
      </c>
      <c r="F85" s="36">
        <v>37.0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ht="15.75" customHeight="1"/>
    <row r="87" ht="15.75" customHeight="1">
      <c r="B87" s="22" t="s">
        <v>204</v>
      </c>
      <c r="C87" s="24"/>
      <c r="D87" s="27"/>
      <c r="E87" s="61"/>
      <c r="F87" s="61"/>
    </row>
    <row r="88" ht="15.75" customHeight="1">
      <c r="B88" s="28" t="s">
        <v>169</v>
      </c>
      <c r="C88" s="31" t="s">
        <v>139</v>
      </c>
      <c r="D88" s="34" t="s">
        <v>15</v>
      </c>
      <c r="E88" s="36">
        <v>6.0</v>
      </c>
      <c r="F88" s="36">
        <v>37.0</v>
      </c>
    </row>
    <row r="89" ht="15.75" customHeight="1">
      <c r="B89" s="28" t="s">
        <v>171</v>
      </c>
      <c r="C89" s="33" t="s">
        <v>172</v>
      </c>
      <c r="D89" s="34" t="s">
        <v>15</v>
      </c>
      <c r="E89" s="36">
        <v>5.0</v>
      </c>
      <c r="F89" s="36">
        <v>37.0</v>
      </c>
    </row>
    <row r="90" ht="15.75" customHeight="1">
      <c r="B90" s="28" t="s">
        <v>177</v>
      </c>
      <c r="C90" s="31" t="s">
        <v>178</v>
      </c>
      <c r="D90" s="34" t="s">
        <v>15</v>
      </c>
      <c r="E90" s="36">
        <v>5.0</v>
      </c>
      <c r="F90" s="36">
        <v>37.0</v>
      </c>
    </row>
    <row r="91" ht="15.75" customHeight="1">
      <c r="B91" s="28" t="s">
        <v>180</v>
      </c>
      <c r="C91" s="38" t="s">
        <v>201</v>
      </c>
      <c r="D91" s="34" t="s">
        <v>15</v>
      </c>
      <c r="E91" s="36">
        <v>5.0</v>
      </c>
      <c r="F91" s="36">
        <v>37.0</v>
      </c>
    </row>
    <row r="92" ht="15.75" customHeight="1">
      <c r="B92" s="28" t="s">
        <v>183</v>
      </c>
      <c r="C92" s="1" t="s">
        <v>66</v>
      </c>
      <c r="D92" s="34" t="s">
        <v>15</v>
      </c>
      <c r="E92" s="36">
        <v>4.0</v>
      </c>
      <c r="F92" s="36">
        <v>37.0</v>
      </c>
    </row>
    <row r="93" ht="15.75" customHeight="1"/>
    <row r="94" ht="15.0" customHeight="1">
      <c r="A94" s="9"/>
      <c r="B94" s="22" t="s">
        <v>217</v>
      </c>
      <c r="C94" s="24"/>
      <c r="D94" s="27"/>
      <c r="E94" s="61"/>
      <c r="F94" s="61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ht="15.0" customHeight="1">
      <c r="A95" s="9"/>
      <c r="B95" s="28" t="s">
        <v>218</v>
      </c>
      <c r="C95" s="31" t="s">
        <v>83</v>
      </c>
      <c r="D95" s="34" t="s">
        <v>15</v>
      </c>
      <c r="E95" s="36">
        <v>6.0</v>
      </c>
      <c r="F95" s="36">
        <v>38.0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ht="15.0" customHeight="1">
      <c r="A96" s="9"/>
      <c r="B96" s="28" t="s">
        <v>219</v>
      </c>
      <c r="C96" s="31" t="s">
        <v>178</v>
      </c>
      <c r="D96" s="34" t="s">
        <v>15</v>
      </c>
      <c r="E96" s="36">
        <v>5.0</v>
      </c>
      <c r="F96" s="36">
        <v>38.0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ht="15.0" customHeight="1">
      <c r="A97" s="9"/>
      <c r="B97" s="28" t="s">
        <v>220</v>
      </c>
      <c r="C97" s="38" t="s">
        <v>22</v>
      </c>
      <c r="D97" s="34" t="s">
        <v>15</v>
      </c>
      <c r="E97" s="36">
        <v>5.0</v>
      </c>
      <c r="F97" s="36">
        <v>38.0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ht="15.0" customHeight="1">
      <c r="A98" s="9"/>
      <c r="B98" s="28" t="s">
        <v>221</v>
      </c>
      <c r="C98" s="1" t="s">
        <v>103</v>
      </c>
      <c r="D98" s="34" t="s">
        <v>15</v>
      </c>
      <c r="E98" s="36">
        <v>5.0</v>
      </c>
      <c r="F98" s="36">
        <v>38.0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ht="15.0" customHeight="1">
      <c r="A99" s="9"/>
      <c r="B99" s="28" t="s">
        <v>222</v>
      </c>
      <c r="C99" s="38" t="s">
        <v>125</v>
      </c>
      <c r="D99" s="34" t="s">
        <v>16</v>
      </c>
      <c r="E99" s="36">
        <v>4.0</v>
      </c>
      <c r="F99" s="36">
        <v>38.0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ht="15.0" customHeight="1">
      <c r="A100" s="9"/>
      <c r="B100" s="62"/>
      <c r="C100" s="47"/>
      <c r="D100" s="35"/>
      <c r="E100" s="35"/>
      <c r="F100" s="35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ht="15.0" customHeight="1">
      <c r="A101" s="9"/>
      <c r="B101" s="22" t="s">
        <v>224</v>
      </c>
      <c r="C101" s="24"/>
      <c r="D101" s="27"/>
      <c r="E101" s="61"/>
      <c r="F101" s="61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ht="15.0" customHeight="1">
      <c r="A102" s="9"/>
      <c r="B102" s="28" t="s">
        <v>218</v>
      </c>
      <c r="C102" s="31" t="s">
        <v>83</v>
      </c>
      <c r="D102" s="34" t="s">
        <v>15</v>
      </c>
      <c r="E102" s="36">
        <v>6.0</v>
      </c>
      <c r="F102" s="36">
        <v>38.0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ht="15.0" customHeight="1">
      <c r="A103" s="9"/>
      <c r="B103" s="28" t="s">
        <v>219</v>
      </c>
      <c r="C103" s="31" t="s">
        <v>178</v>
      </c>
      <c r="D103" s="34" t="s">
        <v>15</v>
      </c>
      <c r="E103" s="36">
        <v>5.0</v>
      </c>
      <c r="F103" s="36">
        <v>38.0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ht="15.0" customHeight="1">
      <c r="A104" s="9"/>
      <c r="B104" s="28" t="s">
        <v>220</v>
      </c>
      <c r="C104" s="38" t="s">
        <v>22</v>
      </c>
      <c r="D104" s="34" t="s">
        <v>15</v>
      </c>
      <c r="E104" s="36">
        <v>5.0</v>
      </c>
      <c r="F104" s="36">
        <v>38.0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ht="15.0" customHeight="1">
      <c r="A105" s="9"/>
      <c r="B105" s="28" t="s">
        <v>221</v>
      </c>
      <c r="C105" s="31" t="s">
        <v>89</v>
      </c>
      <c r="D105" s="34" t="s">
        <v>15</v>
      </c>
      <c r="E105" s="36">
        <v>5.0</v>
      </c>
      <c r="F105" s="36">
        <v>38.0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ht="15.0" customHeight="1">
      <c r="A106" s="9"/>
      <c r="B106" s="28" t="s">
        <v>222</v>
      </c>
      <c r="C106" s="38" t="s">
        <v>125</v>
      </c>
      <c r="D106" s="34" t="s">
        <v>16</v>
      </c>
      <c r="E106" s="36">
        <v>4.0</v>
      </c>
      <c r="F106" s="36">
        <v>38.0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ht="15.0" customHeight="1">
      <c r="A107" s="9"/>
      <c r="B107" s="62"/>
      <c r="C107" s="47"/>
      <c r="D107" s="35"/>
      <c r="E107" s="35"/>
      <c r="F107" s="35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ht="15.0" customHeight="1">
      <c r="A108" s="9"/>
      <c r="B108" s="22" t="s">
        <v>229</v>
      </c>
      <c r="C108" s="24"/>
      <c r="D108" s="27"/>
      <c r="E108" s="61"/>
      <c r="F108" s="61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ht="15.0" customHeight="1">
      <c r="A109" s="9"/>
      <c r="B109" s="28" t="s">
        <v>230</v>
      </c>
      <c r="C109" s="38" t="s">
        <v>231</v>
      </c>
      <c r="D109" s="34" t="s">
        <v>15</v>
      </c>
      <c r="E109" s="36">
        <v>5.0</v>
      </c>
      <c r="F109" s="36">
        <v>46.0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ht="15.0" customHeight="1">
      <c r="A110" s="9"/>
      <c r="B110" s="28" t="s">
        <v>232</v>
      </c>
      <c r="C110" s="38" t="s">
        <v>126</v>
      </c>
      <c r="D110" s="34" t="s">
        <v>15</v>
      </c>
      <c r="E110" s="36">
        <v>5.0</v>
      </c>
      <c r="F110" s="36">
        <v>46.0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ht="15.0" customHeight="1">
      <c r="A111" s="9"/>
      <c r="B111" s="28" t="s">
        <v>233</v>
      </c>
      <c r="C111" s="31" t="s">
        <v>174</v>
      </c>
      <c r="D111" s="34" t="s">
        <v>15</v>
      </c>
      <c r="E111" s="36">
        <v>5.0</v>
      </c>
      <c r="F111" s="36">
        <v>46.0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ht="15.0" customHeight="1">
      <c r="A112" s="9"/>
      <c r="B112" s="28" t="s">
        <v>234</v>
      </c>
      <c r="C112" s="33" t="s">
        <v>172</v>
      </c>
      <c r="D112" s="34" t="s">
        <v>15</v>
      </c>
      <c r="E112" s="36">
        <v>6.0</v>
      </c>
      <c r="F112" s="36">
        <v>46.0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ht="15.0" customHeight="1">
      <c r="A113" s="9"/>
      <c r="B113" s="28" t="s">
        <v>236</v>
      </c>
      <c r="C113" s="38" t="s">
        <v>128</v>
      </c>
      <c r="D113" s="36" t="s">
        <v>41</v>
      </c>
      <c r="E113" s="36">
        <v>4.0</v>
      </c>
      <c r="F113" s="36">
        <v>46.0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ht="15.0" customHeight="1">
      <c r="A114" s="9"/>
      <c r="B114" s="62"/>
      <c r="C114" s="62"/>
      <c r="D114" s="35"/>
      <c r="E114" s="35"/>
      <c r="F114" s="35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ht="15.0" customHeight="1">
      <c r="A115" s="9"/>
      <c r="B115" s="22" t="s">
        <v>241</v>
      </c>
      <c r="C115" s="24"/>
      <c r="D115" s="27"/>
      <c r="E115" s="61"/>
      <c r="F115" s="61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ht="15.0" customHeight="1">
      <c r="A116" s="9"/>
      <c r="B116" s="28" t="s">
        <v>230</v>
      </c>
      <c r="C116" s="38" t="s">
        <v>231</v>
      </c>
      <c r="D116" s="34" t="s">
        <v>15</v>
      </c>
      <c r="E116" s="36">
        <v>5.0</v>
      </c>
      <c r="F116" s="36">
        <v>46.0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ht="15.0" customHeight="1">
      <c r="A117" s="9"/>
      <c r="B117" s="28" t="s">
        <v>232</v>
      </c>
      <c r="C117" s="38" t="s">
        <v>126</v>
      </c>
      <c r="D117" s="34" t="s">
        <v>15</v>
      </c>
      <c r="E117" s="36">
        <v>5.0</v>
      </c>
      <c r="F117" s="36">
        <v>46.0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ht="15.0" customHeight="1">
      <c r="A118" s="9"/>
      <c r="B118" s="28" t="s">
        <v>233</v>
      </c>
      <c r="C118" s="31" t="s">
        <v>202</v>
      </c>
      <c r="D118" s="34" t="s">
        <v>15</v>
      </c>
      <c r="E118" s="36">
        <v>5.0</v>
      </c>
      <c r="F118" s="36">
        <v>46.0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ht="15.0" customHeight="1">
      <c r="A119" s="9"/>
      <c r="B119" s="28" t="s">
        <v>234</v>
      </c>
      <c r="C119" s="33" t="s">
        <v>172</v>
      </c>
      <c r="D119" s="34" t="s">
        <v>15</v>
      </c>
      <c r="E119" s="36">
        <v>6.0</v>
      </c>
      <c r="F119" s="36">
        <v>46.0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ht="15.0" customHeight="1">
      <c r="A120" s="9"/>
      <c r="B120" s="28" t="s">
        <v>236</v>
      </c>
      <c r="C120" s="38" t="s">
        <v>140</v>
      </c>
      <c r="D120" s="36" t="s">
        <v>41</v>
      </c>
      <c r="E120" s="36">
        <v>4.0</v>
      </c>
      <c r="F120" s="36">
        <v>46.0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ht="15.0" customHeight="1">
      <c r="A121" s="9"/>
      <c r="B121" s="62"/>
      <c r="C121" s="62"/>
      <c r="D121" s="35"/>
      <c r="E121" s="35"/>
      <c r="F121" s="35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ht="15.0" customHeight="1">
      <c r="A122" s="9"/>
      <c r="B122" s="22" t="s">
        <v>248</v>
      </c>
      <c r="C122" s="24"/>
      <c r="D122" s="27"/>
      <c r="E122" s="61"/>
      <c r="F122" s="61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ht="15.0" customHeight="1">
      <c r="A123" s="9"/>
      <c r="B123" s="28" t="s">
        <v>230</v>
      </c>
      <c r="C123" s="38" t="s">
        <v>231</v>
      </c>
      <c r="D123" s="34" t="s">
        <v>15</v>
      </c>
      <c r="E123" s="36">
        <v>5.0</v>
      </c>
      <c r="F123" s="36">
        <v>46.0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ht="15.0" customHeight="1">
      <c r="A124" s="9"/>
      <c r="B124" s="28" t="s">
        <v>232</v>
      </c>
      <c r="C124" s="38" t="s">
        <v>126</v>
      </c>
      <c r="D124" s="34" t="s">
        <v>15</v>
      </c>
      <c r="E124" s="36">
        <v>5.0</v>
      </c>
      <c r="F124" s="36">
        <v>46.0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ht="15.0" customHeight="1">
      <c r="A125" s="9"/>
      <c r="B125" s="28" t="s">
        <v>233</v>
      </c>
      <c r="C125" s="31" t="s">
        <v>174</v>
      </c>
      <c r="D125" s="34" t="s">
        <v>15</v>
      </c>
      <c r="E125" s="36">
        <v>5.0</v>
      </c>
      <c r="F125" s="36">
        <v>46.0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ht="15.0" customHeight="1">
      <c r="A126" s="9"/>
      <c r="B126" s="28" t="s">
        <v>234</v>
      </c>
      <c r="C126" s="38" t="s">
        <v>201</v>
      </c>
      <c r="D126" s="34" t="s">
        <v>15</v>
      </c>
      <c r="E126" s="36">
        <v>6.0</v>
      </c>
      <c r="F126" s="36">
        <v>46.0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ht="15.0" customHeight="1">
      <c r="A127" s="9"/>
      <c r="B127" s="28" t="s">
        <v>236</v>
      </c>
      <c r="C127" s="38" t="s">
        <v>140</v>
      </c>
      <c r="D127" s="36" t="s">
        <v>41</v>
      </c>
      <c r="E127" s="36">
        <v>4.0</v>
      </c>
      <c r="F127" s="36">
        <v>46.0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ht="15.0" customHeight="1">
      <c r="A128" s="9"/>
      <c r="B128" s="9"/>
      <c r="C128" s="62"/>
      <c r="D128" s="35"/>
      <c r="E128" s="35"/>
      <c r="F128" s="35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ht="15.0" customHeight="1">
      <c r="A129" s="9"/>
      <c r="B129" s="62"/>
      <c r="C129" s="62"/>
      <c r="D129" s="35"/>
      <c r="E129" s="35"/>
      <c r="F129" s="35"/>
      <c r="G129" s="3"/>
      <c r="H129" s="3"/>
      <c r="I129" s="9"/>
      <c r="J129" s="9"/>
      <c r="K129" s="19"/>
      <c r="L129" s="5"/>
      <c r="M129" s="5"/>
      <c r="N129" s="5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5.0" customHeight="1">
      <c r="A130" s="9"/>
      <c r="B130" s="62"/>
      <c r="C130" s="62"/>
      <c r="D130" s="35"/>
      <c r="E130" s="35"/>
      <c r="F130" s="35"/>
      <c r="G130" s="3"/>
      <c r="H130" s="3"/>
      <c r="I130" s="9"/>
      <c r="J130" s="9"/>
      <c r="K130" s="19"/>
      <c r="L130" s="5"/>
      <c r="M130" s="5"/>
      <c r="N130" s="5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5.0" customHeight="1">
      <c r="A131" s="9"/>
      <c r="B131" s="64" t="s">
        <v>260</v>
      </c>
      <c r="C131" s="24"/>
      <c r="D131" s="27"/>
      <c r="E131" s="61"/>
      <c r="F131" s="35"/>
      <c r="G131" s="3"/>
      <c r="H131" s="3"/>
      <c r="I131" s="9"/>
      <c r="J131" s="9"/>
      <c r="K131" s="19"/>
      <c r="L131" s="5"/>
      <c r="M131" s="5"/>
      <c r="N131" s="5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5.0" customHeight="1">
      <c r="A132" s="9"/>
      <c r="B132" s="97" t="s">
        <v>261</v>
      </c>
      <c r="C132" s="38" t="s">
        <v>118</v>
      </c>
      <c r="D132" s="98" t="s">
        <v>15</v>
      </c>
      <c r="E132" s="98">
        <v>10.0</v>
      </c>
      <c r="F132" s="35"/>
      <c r="G132" s="100" t="s">
        <v>262</v>
      </c>
      <c r="H132" s="3"/>
      <c r="I132" s="9"/>
      <c r="J132" s="9"/>
      <c r="K132" s="19"/>
      <c r="L132" s="5"/>
      <c r="M132" s="5"/>
      <c r="N132" s="5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5.0" customHeight="1">
      <c r="A133" s="9"/>
      <c r="B133" s="102" t="s">
        <v>264</v>
      </c>
      <c r="C133" s="38" t="s">
        <v>231</v>
      </c>
      <c r="D133" s="98" t="s">
        <v>15</v>
      </c>
      <c r="E133" s="98">
        <v>10.0</v>
      </c>
      <c r="F133" s="35"/>
      <c r="G133" s="100" t="s">
        <v>262</v>
      </c>
      <c r="H133" s="3"/>
      <c r="I133" s="9"/>
      <c r="J133" s="9"/>
      <c r="K133" s="19"/>
      <c r="L133" s="5"/>
      <c r="M133" s="5"/>
      <c r="N133" s="5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5.0" customHeight="1">
      <c r="A134" s="9"/>
      <c r="B134" s="102" t="s">
        <v>266</v>
      </c>
      <c r="C134" s="38" t="s">
        <v>201</v>
      </c>
      <c r="D134" s="98" t="s">
        <v>15</v>
      </c>
      <c r="E134" s="98">
        <v>10.0</v>
      </c>
      <c r="F134" s="35"/>
      <c r="G134" s="100" t="s">
        <v>262</v>
      </c>
      <c r="H134" s="3"/>
      <c r="I134" s="9"/>
      <c r="J134" s="9"/>
      <c r="K134" s="19"/>
      <c r="L134" s="5"/>
      <c r="M134" s="5"/>
      <c r="N134" s="5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5.0" customHeight="1">
      <c r="A135" s="9"/>
      <c r="B135" s="102" t="s">
        <v>267</v>
      </c>
      <c r="C135" s="31" t="s">
        <v>137</v>
      </c>
      <c r="D135" s="98" t="s">
        <v>15</v>
      </c>
      <c r="E135" s="98">
        <v>10.0</v>
      </c>
      <c r="F135" s="35"/>
      <c r="G135" s="100" t="s">
        <v>262</v>
      </c>
      <c r="H135" s="3"/>
      <c r="I135" s="9"/>
      <c r="J135" s="9"/>
      <c r="K135" s="19"/>
      <c r="L135" s="5"/>
      <c r="M135" s="5"/>
      <c r="N135" s="5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5.0" customHeight="1">
      <c r="A136" s="9"/>
      <c r="B136" s="102" t="s">
        <v>270</v>
      </c>
      <c r="C136" s="40" t="s">
        <v>142</v>
      </c>
      <c r="D136" s="98" t="s">
        <v>15</v>
      </c>
      <c r="E136" s="98">
        <v>10.0</v>
      </c>
      <c r="F136" s="35"/>
      <c r="G136" s="100" t="s">
        <v>262</v>
      </c>
      <c r="H136" s="3"/>
      <c r="I136" s="9"/>
      <c r="J136" s="9"/>
      <c r="K136" s="19"/>
      <c r="L136" s="5"/>
      <c r="M136" s="5"/>
      <c r="N136" s="5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5.0" customHeight="1">
      <c r="A137" s="9"/>
      <c r="F137" s="61"/>
      <c r="G137" s="3"/>
      <c r="H137" s="3"/>
      <c r="I137" s="9"/>
      <c r="J137" s="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5.0" customHeight="1">
      <c r="A138" s="9"/>
      <c r="F138" s="35"/>
      <c r="G138" s="3"/>
      <c r="H138" s="9"/>
      <c r="I138" s="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15.0" customHeight="1">
      <c r="A139" s="9"/>
      <c r="F139" s="35"/>
      <c r="G139" s="3"/>
      <c r="H139" s="9"/>
      <c r="I139" s="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15.0" customHeight="1">
      <c r="A140" s="9"/>
      <c r="F140" s="35"/>
      <c r="G140" s="3"/>
      <c r="H140" s="9"/>
      <c r="I140" s="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15.0" customHeight="1">
      <c r="A141" s="9"/>
      <c r="F141" s="35"/>
      <c r="G141" s="3"/>
      <c r="H141" s="9"/>
      <c r="I141" s="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15.0" customHeight="1">
      <c r="A142" s="9"/>
      <c r="F142" s="35"/>
      <c r="G142" s="3"/>
      <c r="H142" s="9"/>
      <c r="I142" s="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15.0" customHeight="1">
      <c r="A143" s="9"/>
      <c r="B143" s="102"/>
      <c r="C143" s="62"/>
      <c r="D143" s="35"/>
      <c r="E143" s="35"/>
      <c r="F143" s="35"/>
      <c r="G143" s="3"/>
      <c r="H143" s="9"/>
      <c r="I143" s="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15.0" customHeight="1">
      <c r="A144" s="9"/>
      <c r="B144" s="78"/>
      <c r="C144" s="62"/>
      <c r="D144" s="35"/>
      <c r="E144" s="35"/>
      <c r="F144" s="35"/>
      <c r="G144" s="3"/>
      <c r="H144" s="9"/>
      <c r="I144" s="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15.0" customHeight="1">
      <c r="A145" s="9"/>
      <c r="B145" s="78"/>
      <c r="C145" s="73"/>
      <c r="D145" s="74"/>
      <c r="E145" s="35"/>
      <c r="F145" s="35"/>
      <c r="G145" s="9"/>
      <c r="H145" s="35"/>
      <c r="I145" s="9"/>
      <c r="J145" s="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5.0" customHeight="1">
      <c r="A146" s="9"/>
      <c r="B146" s="78"/>
      <c r="C146" s="73"/>
      <c r="D146" s="74"/>
      <c r="E146" s="35"/>
      <c r="F146" s="35"/>
      <c r="G146" s="9"/>
      <c r="H146" s="35"/>
      <c r="I146" s="9"/>
      <c r="J146" s="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43.5" customHeight="1">
      <c r="A147" s="9"/>
      <c r="B147" s="86"/>
      <c r="C147" s="87" t="s">
        <v>287</v>
      </c>
      <c r="D147" s="13" t="s">
        <v>207</v>
      </c>
      <c r="E147" s="13" t="s">
        <v>208</v>
      </c>
      <c r="F147" s="13" t="s">
        <v>209</v>
      </c>
      <c r="G147" s="13" t="s">
        <v>210</v>
      </c>
      <c r="H147" s="13" t="s">
        <v>211</v>
      </c>
      <c r="I147" s="13" t="s">
        <v>212</v>
      </c>
      <c r="J147" s="13" t="s">
        <v>213</v>
      </c>
      <c r="K147" s="106" t="s">
        <v>214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9"/>
      <c r="B148" s="107">
        <v>1.0</v>
      </c>
      <c r="C148" s="38" t="s">
        <v>105</v>
      </c>
      <c r="D148" s="35">
        <f t="shared" ref="D148:D177" si="1">COUNTIF($C$4:$C$144,C148)</f>
        <v>1</v>
      </c>
      <c r="E148" s="92">
        <f>'Asignación-Profesor'!D21-D148</f>
        <v>0</v>
      </c>
      <c r="F148" s="35">
        <f t="shared" ref="F148:F177" si="2">E148+D148</f>
        <v>1</v>
      </c>
      <c r="G148" s="35">
        <f>'Asignación-Profesor'!P21</f>
        <v>42</v>
      </c>
      <c r="H148" s="35">
        <f>'Asignación-Profesor'!Q21</f>
        <v>4</v>
      </c>
      <c r="I148" s="9"/>
      <c r="J148" s="9"/>
      <c r="K148" s="112" t="s">
        <v>302</v>
      </c>
      <c r="L148" s="19"/>
      <c r="M148" s="112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9"/>
      <c r="B149" s="107">
        <v>2.0</v>
      </c>
      <c r="C149" s="38" t="s">
        <v>118</v>
      </c>
      <c r="D149" s="35">
        <f t="shared" si="1"/>
        <v>4</v>
      </c>
      <c r="E149" s="92">
        <f>'Asignación-Profesor'!D22-D149</f>
        <v>0</v>
      </c>
      <c r="F149" s="35">
        <f t="shared" si="2"/>
        <v>4</v>
      </c>
      <c r="G149" s="35">
        <f>'Asignación-Profesor'!P22</f>
        <v>121</v>
      </c>
      <c r="H149" s="35">
        <f>'Asignación-Profesor'!Q22</f>
        <v>24</v>
      </c>
      <c r="I149" s="9"/>
      <c r="J149" s="9"/>
      <c r="K149" s="112" t="s">
        <v>302</v>
      </c>
      <c r="L149" s="19"/>
      <c r="M149" s="112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9"/>
      <c r="B150" s="107">
        <v>3.0</v>
      </c>
      <c r="C150" s="38" t="s">
        <v>201</v>
      </c>
      <c r="D150" s="35">
        <f t="shared" si="1"/>
        <v>4</v>
      </c>
      <c r="E150" s="92">
        <f>'Asignación-Profesor'!D23-D150</f>
        <v>0</v>
      </c>
      <c r="F150" s="35">
        <f t="shared" si="2"/>
        <v>4</v>
      </c>
      <c r="G150" s="35">
        <f>'Asignación-Profesor'!P23</f>
        <v>120</v>
      </c>
      <c r="H150" s="35">
        <f>'Asignación-Profesor'!Q23</f>
        <v>26</v>
      </c>
      <c r="I150" s="9"/>
      <c r="J150" s="9"/>
      <c r="K150" s="112" t="s">
        <v>302</v>
      </c>
      <c r="L150" s="19"/>
      <c r="M150" s="112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9"/>
      <c r="B151" s="107">
        <v>4.0</v>
      </c>
      <c r="C151" s="38" t="s">
        <v>255</v>
      </c>
      <c r="D151" s="35">
        <f t="shared" si="1"/>
        <v>0</v>
      </c>
      <c r="E151" s="92">
        <f>'Asignación-Profesor'!D24-D151</f>
        <v>4</v>
      </c>
      <c r="F151" s="35">
        <f t="shared" si="2"/>
        <v>4</v>
      </c>
      <c r="G151" s="35">
        <f>'Asignación-Profesor'!P24</f>
        <v>136</v>
      </c>
      <c r="H151" s="35">
        <f>'Asignación-Profesor'!Q24</f>
        <v>20</v>
      </c>
      <c r="I151" s="9"/>
      <c r="J151" s="9"/>
      <c r="K151" s="112" t="s">
        <v>302</v>
      </c>
      <c r="L151" s="19"/>
      <c r="M151" s="112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9"/>
      <c r="B152" s="107">
        <v>5.0</v>
      </c>
      <c r="C152" s="38" t="s">
        <v>126</v>
      </c>
      <c r="D152" s="35">
        <f t="shared" si="1"/>
        <v>4</v>
      </c>
      <c r="E152" s="92">
        <f>'Asignación-Profesor'!D25-D152</f>
        <v>0</v>
      </c>
      <c r="F152" s="35">
        <f t="shared" si="2"/>
        <v>4</v>
      </c>
      <c r="G152" s="35">
        <f>'Asignación-Profesor'!P25</f>
        <v>180</v>
      </c>
      <c r="H152" s="35">
        <f>'Asignación-Profesor'!Q25</f>
        <v>20</v>
      </c>
      <c r="I152" s="9"/>
      <c r="J152" s="9"/>
      <c r="K152" s="112" t="s">
        <v>302</v>
      </c>
      <c r="L152" s="19"/>
      <c r="M152" s="112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9"/>
      <c r="B153" s="107">
        <v>6.0</v>
      </c>
      <c r="C153" s="38" t="s">
        <v>231</v>
      </c>
      <c r="D153" s="35">
        <f t="shared" si="1"/>
        <v>4</v>
      </c>
      <c r="E153" s="92">
        <f>'Asignación-Profesor'!D26-D153</f>
        <v>0</v>
      </c>
      <c r="F153" s="35">
        <f t="shared" si="2"/>
        <v>4</v>
      </c>
      <c r="G153" s="35">
        <f>'Asignación-Profesor'!P26</f>
        <v>138</v>
      </c>
      <c r="H153" s="35">
        <f>'Asignación-Profesor'!Q26</f>
        <v>25</v>
      </c>
      <c r="I153" s="9"/>
      <c r="J153" s="9"/>
      <c r="K153" s="117" t="s">
        <v>324</v>
      </c>
      <c r="L153" s="19"/>
      <c r="M153" s="112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9"/>
      <c r="B154" s="107">
        <v>7.0</v>
      </c>
      <c r="C154" s="38" t="s">
        <v>22</v>
      </c>
      <c r="D154" s="35">
        <f t="shared" si="1"/>
        <v>4</v>
      </c>
      <c r="E154" s="92">
        <f>'Asignación-Profesor'!D27-D154</f>
        <v>0</v>
      </c>
      <c r="F154" s="35">
        <f t="shared" si="2"/>
        <v>4</v>
      </c>
      <c r="G154" s="35">
        <f>'Asignación-Profesor'!P27</f>
        <v>146</v>
      </c>
      <c r="H154" s="35">
        <f>'Asignación-Profesor'!Q27</f>
        <v>20</v>
      </c>
      <c r="I154" s="9"/>
      <c r="J154" s="9"/>
      <c r="K154" s="112" t="s">
        <v>302</v>
      </c>
      <c r="L154" s="19"/>
      <c r="M154" s="112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9"/>
      <c r="B155" s="107">
        <v>8.0</v>
      </c>
      <c r="C155" s="40" t="s">
        <v>142</v>
      </c>
      <c r="D155" s="35">
        <f t="shared" si="1"/>
        <v>4</v>
      </c>
      <c r="E155" s="92">
        <f>'Asignación-Profesor'!D28-D155</f>
        <v>0</v>
      </c>
      <c r="F155" s="35">
        <f t="shared" si="2"/>
        <v>4</v>
      </c>
      <c r="G155" s="35">
        <f>'Asignación-Profesor'!P28</f>
        <v>114</v>
      </c>
      <c r="H155" s="35">
        <f>'Asignación-Profesor'!Q28</f>
        <v>22</v>
      </c>
      <c r="I155" s="9"/>
      <c r="J155" s="9"/>
      <c r="K155" s="112" t="s">
        <v>302</v>
      </c>
      <c r="L155" s="19"/>
      <c r="M155" s="112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9"/>
      <c r="B156" s="107">
        <v>9.0</v>
      </c>
      <c r="C156" s="1" t="s">
        <v>103</v>
      </c>
      <c r="D156" s="35">
        <f t="shared" si="1"/>
        <v>1</v>
      </c>
      <c r="E156" s="92">
        <f>'Asignación-Profesor'!D29-D156</f>
        <v>4</v>
      </c>
      <c r="F156" s="35">
        <f t="shared" si="2"/>
        <v>5</v>
      </c>
      <c r="G156" s="35">
        <f>'Asignación-Profesor'!P29</f>
        <v>38</v>
      </c>
      <c r="H156" s="35">
        <f>'Asignación-Profesor'!Q29</f>
        <v>29</v>
      </c>
      <c r="I156" s="9"/>
      <c r="J156" s="9"/>
      <c r="K156" s="112" t="s">
        <v>302</v>
      </c>
      <c r="L156" s="19"/>
      <c r="M156" s="112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3.5" customHeight="1">
      <c r="A157" s="9"/>
      <c r="B157" s="107">
        <v>10.0</v>
      </c>
      <c r="C157" s="1" t="s">
        <v>66</v>
      </c>
      <c r="D157" s="35">
        <f t="shared" si="1"/>
        <v>5</v>
      </c>
      <c r="E157" s="92">
        <f>'Asignación-Profesor'!D30-D157</f>
        <v>0</v>
      </c>
      <c r="F157" s="35">
        <f t="shared" si="2"/>
        <v>5</v>
      </c>
      <c r="G157" s="35">
        <f>'Asignación-Profesor'!P30</f>
        <v>181</v>
      </c>
      <c r="H157" s="35">
        <f>'Asignación-Profesor'!Q30</f>
        <v>22</v>
      </c>
      <c r="I157" s="9"/>
      <c r="J157" s="9"/>
      <c r="K157" s="112" t="s">
        <v>302</v>
      </c>
      <c r="L157" s="19"/>
      <c r="M157" s="112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9"/>
      <c r="B158" s="107">
        <v>11.0</v>
      </c>
      <c r="C158" s="1" t="s">
        <v>147</v>
      </c>
      <c r="D158" s="35">
        <f t="shared" si="1"/>
        <v>0</v>
      </c>
      <c r="E158" s="92">
        <f>'Asignación-Profesor'!D31-D158</f>
        <v>5</v>
      </c>
      <c r="F158" s="35">
        <f t="shared" si="2"/>
        <v>5</v>
      </c>
      <c r="G158" s="35">
        <f>'Asignación-Profesor'!P31</f>
        <v>92</v>
      </c>
      <c r="H158" s="35">
        <f>'Asignación-Profesor'!Q31</f>
        <v>27</v>
      </c>
      <c r="I158" s="9"/>
      <c r="J158" s="9"/>
      <c r="K158" s="117" t="s">
        <v>324</v>
      </c>
      <c r="L158" s="19"/>
      <c r="M158" s="112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9"/>
      <c r="B159" s="107">
        <v>12.0</v>
      </c>
      <c r="C159" s="33" t="s">
        <v>172</v>
      </c>
      <c r="D159" s="35">
        <f t="shared" si="1"/>
        <v>5</v>
      </c>
      <c r="E159" s="92">
        <f>'Asignación-Profesor'!D32-D159</f>
        <v>0</v>
      </c>
      <c r="F159" s="35">
        <f t="shared" si="2"/>
        <v>5</v>
      </c>
      <c r="G159" s="35">
        <f>'Asignación-Profesor'!P32</f>
        <v>203</v>
      </c>
      <c r="H159" s="35">
        <f>'Asignación-Profesor'!Q32</f>
        <v>27</v>
      </c>
      <c r="I159" s="9"/>
      <c r="J159" s="9"/>
      <c r="K159" s="112" t="s">
        <v>302</v>
      </c>
      <c r="L159" s="19"/>
      <c r="M159" s="112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9"/>
      <c r="B160" s="107">
        <v>13.0</v>
      </c>
      <c r="C160" s="1" t="s">
        <v>19</v>
      </c>
      <c r="D160" s="35">
        <f t="shared" si="1"/>
        <v>1</v>
      </c>
      <c r="E160" s="92">
        <f>'Asignación-Profesor'!D33-D160</f>
        <v>4</v>
      </c>
      <c r="F160" s="35">
        <f t="shared" si="2"/>
        <v>5</v>
      </c>
      <c r="G160" s="35">
        <f>'Asignación-Profesor'!P33</f>
        <v>37</v>
      </c>
      <c r="H160" s="35">
        <f>'Asignación-Profesor'!Q33</f>
        <v>29</v>
      </c>
      <c r="I160" s="9"/>
      <c r="J160" s="9"/>
      <c r="K160" s="117" t="s">
        <v>324</v>
      </c>
      <c r="L160" s="19"/>
      <c r="M160" s="112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9"/>
      <c r="B161" s="107">
        <v>14.0</v>
      </c>
      <c r="C161" s="1" t="s">
        <v>96</v>
      </c>
      <c r="D161" s="35">
        <f t="shared" si="1"/>
        <v>5</v>
      </c>
      <c r="E161" s="92">
        <f>'Asignación-Profesor'!D34-D161</f>
        <v>0</v>
      </c>
      <c r="F161" s="35">
        <f t="shared" si="2"/>
        <v>5</v>
      </c>
      <c r="G161" s="35">
        <f>'Asignación-Profesor'!P34</f>
        <v>198</v>
      </c>
      <c r="H161" s="35">
        <f>'Asignación-Profesor'!Q34</f>
        <v>25</v>
      </c>
      <c r="I161" s="9"/>
      <c r="J161" s="9"/>
      <c r="K161" s="112" t="s">
        <v>302</v>
      </c>
      <c r="L161" s="19"/>
      <c r="M161" s="112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9"/>
      <c r="B162" s="107">
        <v>15.0</v>
      </c>
      <c r="C162" s="31" t="s">
        <v>134</v>
      </c>
      <c r="D162" s="35">
        <f t="shared" si="1"/>
        <v>3</v>
      </c>
      <c r="E162" s="92">
        <f>'Asignación-Profesor'!D35-D162</f>
        <v>2</v>
      </c>
      <c r="F162" s="35">
        <f t="shared" si="2"/>
        <v>5</v>
      </c>
      <c r="G162" s="35">
        <f>'Asignación-Profesor'!P35</f>
        <v>182</v>
      </c>
      <c r="H162" s="35">
        <f>'Asignación-Profesor'!Q35</f>
        <v>28</v>
      </c>
      <c r="I162" s="127"/>
      <c r="J162" s="9"/>
      <c r="L162" s="19"/>
      <c r="M162" s="112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9"/>
      <c r="B163" s="107">
        <v>16.0</v>
      </c>
      <c r="C163" s="31" t="s">
        <v>174</v>
      </c>
      <c r="D163" s="35">
        <f t="shared" si="1"/>
        <v>2</v>
      </c>
      <c r="E163" s="92">
        <f>'Asignación-Profesor'!D36-D163</f>
        <v>3</v>
      </c>
      <c r="F163" s="35">
        <f t="shared" si="2"/>
        <v>5</v>
      </c>
      <c r="G163" s="35">
        <f>'Asignación-Profesor'!P36</f>
        <v>212</v>
      </c>
      <c r="H163" s="35">
        <f>'Asignación-Profesor'!Q36</f>
        <v>25</v>
      </c>
      <c r="I163" s="127"/>
      <c r="J163" s="9"/>
      <c r="L163" s="19"/>
      <c r="M163" s="112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9"/>
      <c r="B164" s="107">
        <v>17.0</v>
      </c>
      <c r="C164" s="31" t="s">
        <v>13</v>
      </c>
      <c r="D164" s="35">
        <f t="shared" si="1"/>
        <v>3</v>
      </c>
      <c r="E164" s="92">
        <f>'Asignación-Profesor'!D37-D164</f>
        <v>2</v>
      </c>
      <c r="F164" s="35">
        <f t="shared" si="2"/>
        <v>5</v>
      </c>
      <c r="G164" s="35">
        <f>'Asignación-Profesor'!P37</f>
        <v>105</v>
      </c>
      <c r="H164" s="35">
        <f>'Asignación-Profesor'!Q37</f>
        <v>28</v>
      </c>
      <c r="I164" s="127"/>
      <c r="J164" s="9"/>
      <c r="L164" s="19"/>
      <c r="M164" s="112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9"/>
      <c r="B165" s="107">
        <v>18.0</v>
      </c>
      <c r="C165" s="31" t="s">
        <v>202</v>
      </c>
      <c r="D165" s="35">
        <f t="shared" si="1"/>
        <v>1</v>
      </c>
      <c r="E165" s="92">
        <f>'Asignación-Profesor'!D38-D165</f>
        <v>4</v>
      </c>
      <c r="F165" s="35">
        <f t="shared" si="2"/>
        <v>5</v>
      </c>
      <c r="G165" s="35">
        <f>'Asignación-Profesor'!P38</f>
        <v>206</v>
      </c>
      <c r="H165" s="35">
        <f>'Asignación-Profesor'!Q38</f>
        <v>25</v>
      </c>
      <c r="I165" s="127"/>
      <c r="J165" s="9"/>
      <c r="L165" s="19"/>
      <c r="M165" s="112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9"/>
      <c r="B166" s="107">
        <v>19.0</v>
      </c>
      <c r="C166" s="31" t="s">
        <v>178</v>
      </c>
      <c r="D166" s="35">
        <f t="shared" si="1"/>
        <v>5</v>
      </c>
      <c r="E166" s="92">
        <f>'Asignación-Profesor'!D39-D166</f>
        <v>0</v>
      </c>
      <c r="F166" s="35">
        <f t="shared" si="2"/>
        <v>5</v>
      </c>
      <c r="G166" s="35">
        <f>'Asignación-Profesor'!P39</f>
        <v>187</v>
      </c>
      <c r="H166" s="35">
        <f>'Asignación-Profesor'!Q39</f>
        <v>25</v>
      </c>
      <c r="I166" s="127"/>
      <c r="J166" s="9"/>
      <c r="L166" s="19"/>
      <c r="M166" s="112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9"/>
      <c r="B167" s="107">
        <v>20.0</v>
      </c>
      <c r="C167" s="31" t="s">
        <v>139</v>
      </c>
      <c r="D167" s="35">
        <f t="shared" si="1"/>
        <v>5</v>
      </c>
      <c r="E167" s="92">
        <f>'Asignación-Profesor'!D40-D167</f>
        <v>0</v>
      </c>
      <c r="F167" s="35">
        <f t="shared" si="2"/>
        <v>5</v>
      </c>
      <c r="G167" s="35">
        <f>'Asignación-Profesor'!P40</f>
        <v>188</v>
      </c>
      <c r="H167" s="35">
        <f>'Asignación-Profesor'!Q40</f>
        <v>27</v>
      </c>
      <c r="I167" s="127"/>
      <c r="J167" s="9"/>
      <c r="L167" s="19"/>
      <c r="M167" s="112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9"/>
      <c r="B168" s="107">
        <v>21.0</v>
      </c>
      <c r="C168" s="31" t="s">
        <v>83</v>
      </c>
      <c r="D168" s="35">
        <f t="shared" si="1"/>
        <v>2</v>
      </c>
      <c r="E168" s="92">
        <f>'Asignación-Profesor'!D41-D168</f>
        <v>3</v>
      </c>
      <c r="F168" s="35">
        <f t="shared" si="2"/>
        <v>5</v>
      </c>
      <c r="G168" s="35">
        <f>'Asignación-Profesor'!P41</f>
        <v>76</v>
      </c>
      <c r="H168" s="35">
        <f>'Asignación-Profesor'!Q41</f>
        <v>27</v>
      </c>
      <c r="I168" s="127"/>
      <c r="J168" s="9"/>
      <c r="L168" s="19"/>
      <c r="M168" s="112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9"/>
      <c r="B169" s="107">
        <v>22.0</v>
      </c>
      <c r="C169" s="31" t="s">
        <v>28</v>
      </c>
      <c r="D169" s="35">
        <f t="shared" si="1"/>
        <v>2</v>
      </c>
      <c r="E169" s="92">
        <f>'Asignación-Profesor'!D42-D169</f>
        <v>3</v>
      </c>
      <c r="F169" s="35">
        <f t="shared" si="2"/>
        <v>5</v>
      </c>
      <c r="G169" s="35">
        <f>'Asignación-Profesor'!P42</f>
        <v>70</v>
      </c>
      <c r="H169" s="35">
        <f>'Asignación-Profesor'!Q42</f>
        <v>25</v>
      </c>
      <c r="I169" s="127"/>
      <c r="J169" s="9"/>
      <c r="L169" s="19"/>
      <c r="M169" s="112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9"/>
      <c r="B170" s="107">
        <v>23.0</v>
      </c>
      <c r="C170" s="31" t="s">
        <v>290</v>
      </c>
      <c r="D170" s="35">
        <f t="shared" si="1"/>
        <v>0</v>
      </c>
      <c r="E170" s="92">
        <f>'Asignación-Profesor'!D43-D170</f>
        <v>5</v>
      </c>
      <c r="F170" s="35">
        <f t="shared" si="2"/>
        <v>5</v>
      </c>
      <c r="G170" s="35">
        <f>'Asignación-Profesor'!P43</f>
        <v>155</v>
      </c>
      <c r="H170" s="35">
        <f>'Asignación-Profesor'!Q43</f>
        <v>27</v>
      </c>
      <c r="I170" s="127"/>
      <c r="J170" s="9"/>
      <c r="L170" s="19"/>
      <c r="M170" s="112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9"/>
      <c r="B171" s="107">
        <v>23.0</v>
      </c>
      <c r="C171" s="31" t="s">
        <v>69</v>
      </c>
      <c r="D171" s="35">
        <f t="shared" si="1"/>
        <v>2</v>
      </c>
      <c r="E171" s="92">
        <f>'Asignación-Profesor'!D44-D171</f>
        <v>3</v>
      </c>
      <c r="F171" s="35">
        <f t="shared" si="2"/>
        <v>5</v>
      </c>
      <c r="G171" s="35">
        <f>'Asignación-Profesor'!P44</f>
        <v>160</v>
      </c>
      <c r="H171" s="35">
        <f>'Asignación-Profesor'!Q44</f>
        <v>25</v>
      </c>
      <c r="J171" s="9"/>
      <c r="L171" s="19"/>
      <c r="M171" s="112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9"/>
      <c r="B172" s="107">
        <v>24.0</v>
      </c>
      <c r="C172" s="31" t="s">
        <v>89</v>
      </c>
      <c r="D172" s="35">
        <f t="shared" si="1"/>
        <v>4</v>
      </c>
      <c r="E172" s="92">
        <f>'Asignación-Profesor'!D45-D172</f>
        <v>0</v>
      </c>
      <c r="F172" s="35">
        <f t="shared" si="2"/>
        <v>4</v>
      </c>
      <c r="G172" s="35">
        <f>'Asignación-Profesor'!P45</f>
        <v>164</v>
      </c>
      <c r="H172" s="35">
        <f>'Asignación-Profesor'!Q45</f>
        <v>23</v>
      </c>
      <c r="J172" s="135"/>
      <c r="K172" s="112" t="s">
        <v>302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9"/>
      <c r="B173" s="107">
        <v>25.0</v>
      </c>
      <c r="C173" s="31" t="s">
        <v>137</v>
      </c>
      <c r="D173" s="35">
        <f t="shared" si="1"/>
        <v>4</v>
      </c>
      <c r="E173" s="92">
        <f>'Asignación-Profesor'!D46-D173</f>
        <v>0</v>
      </c>
      <c r="F173" s="35">
        <f t="shared" si="2"/>
        <v>4</v>
      </c>
      <c r="G173" s="35">
        <f>'Asignación-Profesor'!P46</f>
        <v>114</v>
      </c>
      <c r="H173" s="35">
        <f>'Asignación-Profesor'!Q46</f>
        <v>25</v>
      </c>
      <c r="J173" s="9"/>
      <c r="K173" s="103" t="s">
        <v>340</v>
      </c>
      <c r="L173" s="19"/>
    </row>
    <row r="174" ht="13.5" customHeight="1">
      <c r="A174" s="9"/>
      <c r="B174" s="107">
        <v>26.0</v>
      </c>
      <c r="C174" s="31" t="s">
        <v>77</v>
      </c>
      <c r="D174" s="35">
        <f t="shared" si="1"/>
        <v>1</v>
      </c>
      <c r="E174" s="92">
        <f>'Asignación-Profesor'!D47-D174</f>
        <v>4</v>
      </c>
      <c r="F174" s="35">
        <f t="shared" si="2"/>
        <v>5</v>
      </c>
      <c r="G174" s="35">
        <f>'Asignación-Profesor'!P47</f>
        <v>159</v>
      </c>
      <c r="H174" s="35">
        <f>'Asignación-Profesor'!Q47</f>
        <v>26</v>
      </c>
      <c r="J174" s="9"/>
      <c r="K174" s="103"/>
      <c r="L174" s="19"/>
    </row>
    <row r="175" ht="13.5" customHeight="1">
      <c r="B175" s="107">
        <v>27.0</v>
      </c>
      <c r="C175" s="137" t="s">
        <v>344</v>
      </c>
      <c r="D175" s="35">
        <f t="shared" si="1"/>
        <v>0</v>
      </c>
      <c r="E175" s="92">
        <f>'Asignación-Profesor'!D48-D175</f>
        <v>0</v>
      </c>
      <c r="F175" s="35">
        <f t="shared" si="2"/>
        <v>0</v>
      </c>
      <c r="G175" s="35">
        <f>'Asignación-Profesor'!P48</f>
        <v>0</v>
      </c>
      <c r="H175" s="35">
        <f>'Asignación-Profesor'!Q48</f>
        <v>0</v>
      </c>
      <c r="I175" s="127" t="s">
        <v>345</v>
      </c>
    </row>
    <row r="176" ht="13.5" customHeight="1">
      <c r="B176" s="107">
        <v>28.0</v>
      </c>
      <c r="C176" s="138" t="s">
        <v>346</v>
      </c>
      <c r="D176" s="35">
        <f t="shared" si="1"/>
        <v>0</v>
      </c>
      <c r="E176" s="92">
        <f>'Asignación-Profesor'!D49-D176</f>
        <v>0</v>
      </c>
      <c r="F176" s="35">
        <f t="shared" si="2"/>
        <v>0</v>
      </c>
      <c r="G176" s="35">
        <f>'Asignación-Profesor'!P49</f>
        <v>0</v>
      </c>
      <c r="H176" s="35">
        <f>'Asignación-Profesor'!Q49</f>
        <v>0</v>
      </c>
      <c r="I176" s="127" t="s">
        <v>347</v>
      </c>
    </row>
    <row r="177" ht="13.5" customHeight="1">
      <c r="B177" s="107">
        <v>29.0</v>
      </c>
      <c r="C177" s="137" t="s">
        <v>348</v>
      </c>
      <c r="D177" s="35">
        <f t="shared" si="1"/>
        <v>0</v>
      </c>
      <c r="E177" s="92">
        <f>'Asignación-Profesor'!D50-D177</f>
        <v>0</v>
      </c>
      <c r="F177" s="35">
        <f t="shared" si="2"/>
        <v>0</v>
      </c>
      <c r="G177" s="35">
        <f>'Asignación-Profesor'!P50</f>
        <v>0</v>
      </c>
      <c r="H177" s="35">
        <f>'Asignación-Profesor'!Q50</f>
        <v>0</v>
      </c>
      <c r="I177" s="127" t="s">
        <v>347</v>
      </c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:F1"/>
  </mergeCells>
  <conditionalFormatting sqref="F148:F177">
    <cfRule type="cellIs" dxfId="0" priority="1" operator="lessThan">
      <formula>3</formula>
    </cfRule>
  </conditionalFormatting>
  <conditionalFormatting sqref="F148:F177">
    <cfRule type="cellIs" dxfId="1" priority="2" operator="equal">
      <formula>3</formula>
    </cfRule>
  </conditionalFormatting>
  <conditionalFormatting sqref="F148:F177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9.14"/>
    <col customWidth="1" min="3" max="3" width="50.57"/>
    <col customWidth="1" min="4" max="4" width="17.57"/>
    <col customWidth="1" min="5" max="5" width="11.14"/>
    <col customWidth="1" min="6" max="6" width="12.14"/>
    <col customWidth="1" min="7" max="7" width="35.14"/>
    <col customWidth="1" min="8" max="8" width="15.0"/>
    <col customWidth="1" min="9" max="9" width="7.57"/>
    <col customWidth="1" min="10" max="10" width="10.14"/>
    <col customWidth="1" min="11" max="11" width="58.0"/>
    <col customWidth="1" min="12" max="12" width="50.0"/>
    <col customWidth="1" min="13" max="13" width="30.0"/>
    <col customWidth="1" min="14" max="14" width="27.43"/>
    <col customWidth="1" min="15" max="30" width="11.14"/>
  </cols>
  <sheetData>
    <row r="1">
      <c r="A1" s="2" t="s">
        <v>1</v>
      </c>
      <c r="B1" s="4"/>
      <c r="C1" s="4"/>
      <c r="D1" s="4"/>
      <c r="E1" s="4"/>
      <c r="F1" s="6"/>
      <c r="G1" s="8"/>
      <c r="H1" s="1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11"/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7"/>
      <c r="H2" s="1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9"/>
      <c r="AC2" s="9"/>
      <c r="AD2" s="9"/>
    </row>
    <row r="3" ht="13.5" customHeight="1">
      <c r="A3" s="7"/>
      <c r="B3" s="22" t="s">
        <v>9</v>
      </c>
      <c r="C3" s="24"/>
      <c r="D3" s="27"/>
      <c r="E3" s="29"/>
      <c r="F3" s="29"/>
      <c r="G3" s="8"/>
      <c r="H3" s="32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3.5" customHeight="1">
      <c r="A4" s="7"/>
      <c r="B4" s="28" t="s">
        <v>17</v>
      </c>
      <c r="C4" s="1" t="s">
        <v>19</v>
      </c>
      <c r="D4" s="34" t="s">
        <v>15</v>
      </c>
      <c r="E4" s="36">
        <v>6.0</v>
      </c>
      <c r="F4" s="36"/>
      <c r="G4" s="39"/>
      <c r="I4" s="11"/>
      <c r="J4" s="11"/>
    </row>
    <row r="5" ht="13.5" customHeight="1">
      <c r="A5" s="7"/>
      <c r="B5" s="28" t="s">
        <v>25</v>
      </c>
      <c r="C5" s="31" t="s">
        <v>28</v>
      </c>
      <c r="D5" s="34" t="s">
        <v>15</v>
      </c>
      <c r="E5" s="36">
        <v>5.0</v>
      </c>
      <c r="F5" s="36"/>
      <c r="G5" s="11"/>
      <c r="H5" s="11"/>
      <c r="I5" s="11"/>
      <c r="J5" s="11"/>
      <c r="K5" s="11"/>
      <c r="L5" s="11"/>
      <c r="M5" s="11"/>
      <c r="N5" s="9"/>
      <c r="O5" s="9"/>
      <c r="P5" s="9"/>
    </row>
    <row r="6" ht="13.5" customHeight="1">
      <c r="A6" s="7"/>
      <c r="B6" s="28" t="s">
        <v>34</v>
      </c>
      <c r="C6" s="41" t="s">
        <v>35</v>
      </c>
      <c r="D6" s="42" t="s">
        <v>23</v>
      </c>
      <c r="E6" s="36">
        <v>5.0</v>
      </c>
      <c r="F6" s="36"/>
      <c r="G6" s="11"/>
      <c r="H6" s="11"/>
      <c r="I6" s="11"/>
      <c r="J6" s="11"/>
      <c r="K6" s="11"/>
      <c r="L6" s="11"/>
      <c r="M6" s="11"/>
      <c r="N6" s="9"/>
      <c r="O6" s="9"/>
      <c r="P6" s="9"/>
    </row>
    <row r="7" ht="13.5" customHeight="1">
      <c r="A7" s="7"/>
      <c r="B7" s="44" t="s">
        <v>27</v>
      </c>
      <c r="C7" s="44" t="s">
        <v>40</v>
      </c>
      <c r="D7" s="34" t="s">
        <v>41</v>
      </c>
      <c r="E7" s="36">
        <v>5.0</v>
      </c>
      <c r="F7" s="36"/>
      <c r="G7" s="11"/>
      <c r="H7" s="11"/>
      <c r="I7" s="11"/>
      <c r="J7" s="11"/>
      <c r="K7" s="11"/>
      <c r="L7" s="11"/>
      <c r="M7" s="11"/>
      <c r="N7" s="9"/>
      <c r="O7" s="9"/>
      <c r="P7" s="9"/>
    </row>
    <row r="8" ht="13.5" customHeight="1">
      <c r="A8" s="7"/>
      <c r="B8" s="28" t="s">
        <v>43</v>
      </c>
      <c r="C8" s="33" t="s">
        <v>44</v>
      </c>
      <c r="D8" s="36" t="s">
        <v>46</v>
      </c>
      <c r="E8" s="36">
        <v>6.0</v>
      </c>
      <c r="F8" s="36"/>
      <c r="G8" s="49" t="s">
        <v>49</v>
      </c>
      <c r="H8" s="11"/>
      <c r="I8" s="11"/>
      <c r="J8" s="11"/>
      <c r="K8" s="11"/>
      <c r="L8" s="11"/>
      <c r="M8" s="11"/>
      <c r="N8" s="9"/>
      <c r="O8" s="9"/>
      <c r="P8" s="9"/>
    </row>
    <row r="9" ht="13.5" customHeight="1">
      <c r="A9" s="7"/>
      <c r="B9" s="28"/>
      <c r="C9" s="38"/>
      <c r="D9" s="50"/>
      <c r="E9" s="35"/>
      <c r="F9" s="11"/>
      <c r="G9" s="11"/>
      <c r="H9" s="11"/>
      <c r="I9" s="11"/>
      <c r="J9" s="11"/>
      <c r="K9" s="11"/>
      <c r="L9" s="11"/>
      <c r="M9" s="11"/>
      <c r="N9" s="9"/>
      <c r="O9" s="9"/>
      <c r="P9" s="9"/>
    </row>
    <row r="10" ht="13.5" customHeight="1">
      <c r="A10" s="9"/>
      <c r="B10" s="28" t="s">
        <v>54</v>
      </c>
      <c r="C10" s="38"/>
      <c r="D10" s="51"/>
      <c r="E10" s="29"/>
      <c r="F10" s="11"/>
      <c r="G10" s="11"/>
      <c r="H10" s="11"/>
      <c r="I10" s="11"/>
      <c r="J10" s="11"/>
      <c r="K10" s="11"/>
      <c r="L10" s="11"/>
      <c r="M10" s="11"/>
      <c r="N10" s="9"/>
      <c r="O10" s="9"/>
      <c r="P10" s="9"/>
    </row>
    <row r="11" ht="13.5" customHeight="1">
      <c r="A11" s="9"/>
      <c r="B11" s="28" t="s">
        <v>17</v>
      </c>
      <c r="C11" s="1" t="s">
        <v>19</v>
      </c>
      <c r="D11" s="34" t="s">
        <v>15</v>
      </c>
      <c r="E11" s="36">
        <v>6.0</v>
      </c>
      <c r="F11" s="36"/>
      <c r="G11" s="11"/>
      <c r="H11" s="11"/>
      <c r="I11" s="11"/>
      <c r="J11" s="11"/>
      <c r="K11" s="11"/>
      <c r="L11" s="11"/>
      <c r="M11" s="11"/>
      <c r="N11" s="9"/>
      <c r="O11" s="9"/>
      <c r="P11" s="9"/>
    </row>
    <row r="12" ht="13.5" customHeight="1">
      <c r="A12" s="9"/>
      <c r="B12" s="28" t="s">
        <v>25</v>
      </c>
      <c r="C12" s="31" t="s">
        <v>28</v>
      </c>
      <c r="D12" s="34" t="s">
        <v>15</v>
      </c>
      <c r="E12" s="36">
        <v>5.0</v>
      </c>
      <c r="F12" s="36"/>
      <c r="G12" s="11"/>
      <c r="H12" s="11"/>
      <c r="I12" s="11"/>
      <c r="J12" s="11"/>
      <c r="K12" s="11"/>
      <c r="L12" s="11"/>
      <c r="M12" s="11"/>
      <c r="N12" s="9"/>
      <c r="O12" s="9"/>
      <c r="P12" s="9"/>
    </row>
    <row r="13" ht="13.5" customHeight="1">
      <c r="A13" s="9"/>
      <c r="B13" s="28" t="s">
        <v>34</v>
      </c>
      <c r="C13" s="40" t="s">
        <v>59</v>
      </c>
      <c r="D13" s="42" t="s">
        <v>23</v>
      </c>
      <c r="E13" s="36">
        <v>5.0</v>
      </c>
      <c r="F13" s="36"/>
      <c r="G13" s="11"/>
      <c r="H13" s="11"/>
      <c r="I13" s="11"/>
      <c r="J13" s="11"/>
      <c r="K13" s="11"/>
      <c r="L13" s="11"/>
      <c r="M13" s="11"/>
      <c r="N13" s="9"/>
      <c r="O13" s="9"/>
      <c r="P13" s="9"/>
    </row>
    <row r="14" ht="13.5" customHeight="1">
      <c r="A14" s="9"/>
      <c r="B14" s="44" t="s">
        <v>27</v>
      </c>
      <c r="C14" s="44" t="s">
        <v>60</v>
      </c>
      <c r="D14" s="34" t="s">
        <v>56</v>
      </c>
      <c r="E14" s="36">
        <v>5.0</v>
      </c>
      <c r="F14" s="36"/>
      <c r="G14" s="11"/>
      <c r="H14" s="11"/>
      <c r="I14" s="11"/>
      <c r="J14" s="11"/>
      <c r="K14" s="11"/>
      <c r="L14" s="11"/>
      <c r="M14" s="11"/>
      <c r="N14" s="9"/>
      <c r="O14" s="9"/>
      <c r="P14" s="9"/>
    </row>
    <row r="15" ht="13.5" customHeight="1">
      <c r="A15" s="9"/>
      <c r="B15" s="28" t="s">
        <v>43</v>
      </c>
      <c r="C15" s="1" t="s">
        <v>62</v>
      </c>
      <c r="D15" s="36" t="s">
        <v>46</v>
      </c>
      <c r="E15" s="36">
        <v>6.0</v>
      </c>
      <c r="F15" s="36"/>
      <c r="G15" s="49" t="s">
        <v>49</v>
      </c>
      <c r="H15" s="11"/>
      <c r="I15" s="11"/>
      <c r="J15" s="11"/>
      <c r="K15" s="11"/>
      <c r="L15" s="11"/>
      <c r="M15" s="11"/>
      <c r="N15" s="9"/>
      <c r="O15" s="9"/>
      <c r="P15" s="9"/>
    </row>
    <row r="16" ht="13.5" customHeight="1">
      <c r="A16" s="9"/>
      <c r="B16" s="47"/>
      <c r="C16" s="53"/>
      <c r="D16" s="50"/>
      <c r="E16" s="35"/>
      <c r="F16" s="11"/>
      <c r="G16" s="11"/>
      <c r="H16" s="11"/>
      <c r="I16" s="11"/>
      <c r="J16" s="11"/>
      <c r="K16" s="11"/>
      <c r="L16" s="11"/>
      <c r="M16" s="11"/>
      <c r="N16" s="9"/>
      <c r="O16" s="9"/>
      <c r="P16" s="9"/>
    </row>
    <row r="17" ht="13.5" customHeight="1">
      <c r="A17" s="9"/>
      <c r="B17" s="22" t="s">
        <v>65</v>
      </c>
      <c r="C17" s="54"/>
      <c r="D17" s="51"/>
      <c r="E17" s="29"/>
      <c r="F17" s="11"/>
      <c r="G17" s="11"/>
      <c r="H17" s="11"/>
      <c r="I17" s="11"/>
      <c r="J17" s="11"/>
      <c r="K17" s="11"/>
      <c r="L17" s="11"/>
      <c r="M17" s="11"/>
      <c r="N17" s="9"/>
      <c r="O17" s="9"/>
      <c r="P17" s="9"/>
    </row>
    <row r="18" ht="13.5" customHeight="1">
      <c r="A18" s="9"/>
      <c r="B18" s="28" t="s">
        <v>17</v>
      </c>
      <c r="C18" s="1" t="s">
        <v>19</v>
      </c>
      <c r="D18" s="34" t="s">
        <v>15</v>
      </c>
      <c r="E18" s="36">
        <v>6.0</v>
      </c>
      <c r="F18" s="36"/>
      <c r="G18" s="11"/>
      <c r="H18" s="11"/>
      <c r="I18" s="11"/>
      <c r="J18" s="11"/>
      <c r="K18" s="11"/>
      <c r="L18" s="11"/>
      <c r="M18" s="11"/>
      <c r="N18" s="9"/>
      <c r="O18" s="9"/>
      <c r="P18" s="9"/>
    </row>
    <row r="19" ht="13.5" customHeight="1">
      <c r="A19" s="9"/>
      <c r="B19" s="28" t="s">
        <v>25</v>
      </c>
      <c r="C19" s="31" t="s">
        <v>28</v>
      </c>
      <c r="D19" s="34" t="s">
        <v>15</v>
      </c>
      <c r="E19" s="36">
        <v>5.0</v>
      </c>
      <c r="F19" s="36"/>
      <c r="G19" s="11"/>
      <c r="H19" s="11"/>
      <c r="I19" s="11"/>
      <c r="J19" s="11"/>
      <c r="K19" s="11"/>
      <c r="L19" s="11"/>
      <c r="M19" s="11"/>
      <c r="N19" s="9"/>
      <c r="O19" s="9"/>
      <c r="P19" s="9"/>
    </row>
    <row r="20" ht="13.5" customHeight="1">
      <c r="A20" s="9"/>
      <c r="B20" s="28" t="s">
        <v>34</v>
      </c>
      <c r="C20" s="40" t="s">
        <v>59</v>
      </c>
      <c r="D20" s="42" t="s">
        <v>23</v>
      </c>
      <c r="E20" s="36">
        <v>5.0</v>
      </c>
      <c r="F20" s="36"/>
      <c r="G20" s="11"/>
      <c r="H20" s="11"/>
      <c r="I20" s="11"/>
      <c r="J20" s="11"/>
      <c r="K20" s="11"/>
      <c r="L20" s="11"/>
      <c r="M20" s="11"/>
      <c r="N20" s="9"/>
      <c r="O20" s="9"/>
      <c r="P20" s="9"/>
    </row>
    <row r="21" ht="13.5" customHeight="1">
      <c r="A21" s="9"/>
      <c r="B21" s="44" t="s">
        <v>27</v>
      </c>
      <c r="C21" s="44" t="s">
        <v>75</v>
      </c>
      <c r="D21" s="34" t="s">
        <v>56</v>
      </c>
      <c r="E21" s="36">
        <v>5.0</v>
      </c>
      <c r="F21" s="36"/>
      <c r="G21" s="11"/>
      <c r="H21" s="11"/>
      <c r="I21" s="11"/>
      <c r="J21" s="11"/>
      <c r="K21" s="11"/>
      <c r="L21" s="11"/>
      <c r="M21" s="11"/>
      <c r="N21" s="9"/>
      <c r="O21" s="9"/>
      <c r="P21" s="9"/>
    </row>
    <row r="22" ht="13.5" customHeight="1">
      <c r="A22" s="9"/>
      <c r="B22" s="28" t="s">
        <v>43</v>
      </c>
      <c r="C22" s="1" t="s">
        <v>62</v>
      </c>
      <c r="D22" s="36" t="s">
        <v>46</v>
      </c>
      <c r="E22" s="36">
        <v>6.0</v>
      </c>
      <c r="F22" s="36"/>
      <c r="G22" s="49" t="s">
        <v>49</v>
      </c>
      <c r="H22" s="11"/>
      <c r="I22" s="11"/>
      <c r="J22" s="11"/>
      <c r="K22" s="11"/>
      <c r="L22" s="11"/>
      <c r="M22" s="11"/>
      <c r="N22" s="9"/>
      <c r="O22" s="9"/>
      <c r="P22" s="9"/>
    </row>
    <row r="23" ht="13.5" customHeight="1">
      <c r="A23" s="9"/>
      <c r="B23" s="47"/>
      <c r="C23" s="53"/>
      <c r="D23" s="50"/>
      <c r="E23" s="35"/>
      <c r="F23" s="11"/>
      <c r="G23" s="11"/>
      <c r="H23" s="11"/>
      <c r="I23" s="11"/>
      <c r="J23" s="11"/>
      <c r="K23" s="11"/>
      <c r="L23" s="11"/>
      <c r="M23" s="11"/>
      <c r="N23" s="9"/>
      <c r="O23" s="9"/>
      <c r="P23" s="9"/>
    </row>
    <row r="24" ht="13.5" customHeight="1">
      <c r="A24" s="9"/>
      <c r="B24" s="22" t="s">
        <v>82</v>
      </c>
      <c r="C24" s="54"/>
      <c r="D24" s="51"/>
      <c r="E24" s="29"/>
      <c r="F24" s="11"/>
      <c r="G24" s="11"/>
      <c r="H24" s="11"/>
      <c r="I24" s="11"/>
      <c r="J24" s="11"/>
      <c r="K24" s="11"/>
      <c r="L24" s="11"/>
      <c r="M24" s="11"/>
      <c r="N24" s="9"/>
      <c r="O24" s="9"/>
      <c r="P24" s="9"/>
    </row>
    <row r="25" ht="13.5" customHeight="1">
      <c r="A25" s="9"/>
      <c r="B25" s="28" t="s">
        <v>17</v>
      </c>
      <c r="C25" s="1" t="s">
        <v>19</v>
      </c>
      <c r="D25" s="34" t="s">
        <v>15</v>
      </c>
      <c r="E25" s="36">
        <v>6.0</v>
      </c>
      <c r="F25" s="36"/>
      <c r="G25" s="11"/>
      <c r="H25" s="11"/>
      <c r="I25" s="11"/>
      <c r="J25" s="11"/>
      <c r="K25" s="11"/>
      <c r="L25" s="11"/>
      <c r="M25" s="11"/>
      <c r="N25" s="9"/>
      <c r="O25" s="9"/>
      <c r="P25" s="9"/>
    </row>
    <row r="26" ht="13.5" customHeight="1">
      <c r="A26" s="9"/>
      <c r="B26" s="28" t="s">
        <v>25</v>
      </c>
      <c r="C26" s="31" t="s">
        <v>83</v>
      </c>
      <c r="D26" s="34" t="s">
        <v>15</v>
      </c>
      <c r="E26" s="36">
        <v>5.0</v>
      </c>
      <c r="F26" s="36"/>
      <c r="G26" s="11"/>
      <c r="H26" s="11"/>
      <c r="I26" s="11"/>
      <c r="J26" s="11"/>
      <c r="K26" s="11"/>
      <c r="L26" s="11"/>
      <c r="M26" s="11"/>
      <c r="N26" s="9"/>
      <c r="O26" s="9"/>
      <c r="P26" s="9"/>
    </row>
    <row r="27" ht="13.5" customHeight="1">
      <c r="A27" s="9"/>
      <c r="B27" s="28" t="s">
        <v>34</v>
      </c>
      <c r="C27" s="40" t="s">
        <v>59</v>
      </c>
      <c r="D27" s="42" t="s">
        <v>23</v>
      </c>
      <c r="E27" s="36">
        <v>5.0</v>
      </c>
      <c r="F27" s="36"/>
      <c r="G27" s="11"/>
      <c r="H27" s="11"/>
      <c r="I27" s="11"/>
      <c r="J27" s="11"/>
      <c r="K27" s="11"/>
      <c r="L27" s="11"/>
      <c r="M27" s="11"/>
      <c r="N27" s="9"/>
      <c r="O27" s="9"/>
      <c r="P27" s="9"/>
    </row>
    <row r="28" ht="13.5" customHeight="1">
      <c r="A28" s="9"/>
      <c r="B28" s="44" t="s">
        <v>27</v>
      </c>
      <c r="C28" s="44" t="s">
        <v>75</v>
      </c>
      <c r="D28" s="34" t="s">
        <v>56</v>
      </c>
      <c r="E28" s="36">
        <v>5.0</v>
      </c>
      <c r="F28" s="36"/>
      <c r="G28" s="11"/>
      <c r="H28" s="11"/>
      <c r="I28" s="11"/>
      <c r="J28" s="11"/>
      <c r="K28" s="11"/>
      <c r="L28" s="11"/>
      <c r="M28" s="11"/>
      <c r="N28" s="9"/>
      <c r="O28" s="9"/>
      <c r="P28" s="9"/>
    </row>
    <row r="29" ht="13.5" customHeight="1">
      <c r="A29" s="9"/>
      <c r="B29" s="28" t="s">
        <v>43</v>
      </c>
      <c r="C29" s="33" t="s">
        <v>44</v>
      </c>
      <c r="D29" s="36" t="s">
        <v>46</v>
      </c>
      <c r="E29" s="36">
        <v>6.0</v>
      </c>
      <c r="F29" s="36"/>
      <c r="G29" s="49" t="s">
        <v>49</v>
      </c>
      <c r="H29" s="11"/>
      <c r="I29" s="11"/>
      <c r="J29" s="11"/>
      <c r="K29" s="11"/>
      <c r="L29" s="11"/>
      <c r="M29" s="11"/>
      <c r="N29" s="9"/>
      <c r="O29" s="9"/>
      <c r="P29" s="9"/>
    </row>
    <row r="30" ht="13.5" customHeight="1">
      <c r="A30" s="9"/>
      <c r="B30" s="47"/>
      <c r="C30" s="53"/>
      <c r="D30" s="50"/>
      <c r="E30" s="35"/>
      <c r="F30" s="11"/>
      <c r="G30" s="11"/>
      <c r="H30" s="11"/>
      <c r="I30" s="11"/>
      <c r="J30" s="11"/>
      <c r="K30" s="11"/>
      <c r="L30" s="11"/>
      <c r="M30" s="11"/>
      <c r="N30" s="9"/>
      <c r="O30" s="9"/>
      <c r="P30" s="9"/>
    </row>
    <row r="31" ht="13.5" customHeight="1">
      <c r="A31" s="9"/>
      <c r="B31" s="65" t="s">
        <v>98</v>
      </c>
      <c r="C31" s="54"/>
      <c r="D31" s="51"/>
      <c r="E31" s="29"/>
      <c r="F31" s="11"/>
      <c r="G31" s="11"/>
      <c r="H31" s="11"/>
      <c r="I31" s="11"/>
      <c r="J31" s="11"/>
      <c r="K31" s="11"/>
      <c r="L31" s="11"/>
      <c r="M31" s="11"/>
      <c r="N31" s="9"/>
      <c r="O31" s="9"/>
      <c r="P31" s="9"/>
    </row>
    <row r="32" ht="13.5" customHeight="1">
      <c r="A32" s="9"/>
      <c r="B32" s="28" t="s">
        <v>17</v>
      </c>
      <c r="C32" s="1" t="s">
        <v>103</v>
      </c>
      <c r="D32" s="34" t="s">
        <v>15</v>
      </c>
      <c r="E32" s="36">
        <v>6.0</v>
      </c>
      <c r="F32" s="36"/>
      <c r="G32" s="11"/>
      <c r="H32" s="11"/>
      <c r="I32" s="11"/>
      <c r="J32" s="11"/>
      <c r="K32" s="11"/>
      <c r="L32" s="11"/>
      <c r="M32" s="11"/>
      <c r="N32" s="9"/>
      <c r="O32" s="9"/>
      <c r="P32" s="9"/>
    </row>
    <row r="33" ht="13.5" customHeight="1">
      <c r="A33" s="9"/>
      <c r="B33" s="28" t="s">
        <v>25</v>
      </c>
      <c r="C33" s="31" t="s">
        <v>83</v>
      </c>
      <c r="D33" s="34" t="s">
        <v>15</v>
      </c>
      <c r="E33" s="36">
        <v>5.0</v>
      </c>
      <c r="F33" s="36"/>
      <c r="G33" s="11"/>
      <c r="H33" s="11"/>
      <c r="I33" s="11"/>
      <c r="J33" s="11"/>
      <c r="K33" s="11"/>
      <c r="L33" s="11"/>
      <c r="M33" s="11"/>
      <c r="N33" s="9"/>
      <c r="O33" s="9"/>
      <c r="P33" s="9"/>
    </row>
    <row r="34" ht="13.5" customHeight="1">
      <c r="A34" s="9"/>
      <c r="B34" s="28" t="s">
        <v>34</v>
      </c>
      <c r="C34" s="1" t="s">
        <v>107</v>
      </c>
      <c r="D34" s="42" t="s">
        <v>23</v>
      </c>
      <c r="E34" s="36">
        <v>5.0</v>
      </c>
      <c r="F34" s="36"/>
      <c r="G34" s="11"/>
      <c r="H34" s="11"/>
      <c r="I34" s="11"/>
      <c r="J34" s="11"/>
      <c r="K34" s="11"/>
      <c r="L34" s="11"/>
      <c r="M34" s="11"/>
      <c r="N34" s="9"/>
      <c r="O34" s="9"/>
      <c r="P34" s="9"/>
    </row>
    <row r="35" ht="13.5" customHeight="1">
      <c r="A35" s="9"/>
      <c r="B35" s="28" t="s">
        <v>27</v>
      </c>
      <c r="C35" s="40" t="s">
        <v>108</v>
      </c>
      <c r="D35" s="34" t="s">
        <v>56</v>
      </c>
      <c r="E35" s="36">
        <v>5.0</v>
      </c>
      <c r="F35" s="36"/>
      <c r="G35" s="11"/>
      <c r="H35" s="11"/>
      <c r="I35" s="11"/>
      <c r="J35" s="11"/>
      <c r="K35" s="11"/>
      <c r="L35" s="11"/>
      <c r="M35" s="11"/>
      <c r="N35" s="9"/>
      <c r="O35" s="9"/>
      <c r="P35" s="9"/>
    </row>
    <row r="36" ht="13.5" customHeight="1">
      <c r="A36" s="9"/>
      <c r="B36" s="28" t="s">
        <v>43</v>
      </c>
      <c r="C36" s="70" t="s">
        <v>112</v>
      </c>
      <c r="D36" s="36" t="s">
        <v>46</v>
      </c>
      <c r="E36" s="36">
        <v>6.0</v>
      </c>
      <c r="F36" s="36"/>
      <c r="G36" s="49" t="s">
        <v>49</v>
      </c>
      <c r="H36" s="11"/>
      <c r="I36" s="11"/>
      <c r="J36" s="11"/>
      <c r="K36" s="11"/>
      <c r="L36" s="11"/>
      <c r="M36" s="11"/>
      <c r="N36" s="9"/>
      <c r="O36" s="9"/>
      <c r="P36" s="9"/>
    </row>
    <row r="37" ht="13.5" customHeight="1">
      <c r="A37" s="9"/>
      <c r="B37" s="47"/>
      <c r="C37" s="71"/>
      <c r="D37" s="50"/>
      <c r="E37" s="35"/>
      <c r="F37" s="11"/>
      <c r="G37" s="11"/>
      <c r="H37" s="11"/>
      <c r="I37" s="11"/>
      <c r="J37" s="11"/>
      <c r="K37" s="11"/>
      <c r="L37" s="11"/>
      <c r="M37" s="11"/>
      <c r="N37" s="9"/>
      <c r="O37" s="9"/>
      <c r="P37" s="9"/>
    </row>
    <row r="38" ht="13.5" customHeight="1">
      <c r="A38" s="9"/>
      <c r="B38" s="65" t="s">
        <v>114</v>
      </c>
      <c r="C38" s="54"/>
      <c r="D38" s="51"/>
      <c r="E38" s="29"/>
      <c r="F38" s="11"/>
      <c r="G38" s="11"/>
      <c r="H38" s="11"/>
      <c r="I38" s="11"/>
      <c r="J38" s="11"/>
      <c r="K38" s="11"/>
      <c r="L38" s="11"/>
      <c r="M38" s="11"/>
      <c r="N38" s="9"/>
      <c r="O38" s="9"/>
      <c r="P38" s="9"/>
    </row>
    <row r="39" ht="13.5" customHeight="1">
      <c r="A39" s="9"/>
      <c r="B39" s="28" t="s">
        <v>17</v>
      </c>
      <c r="C39" s="1" t="s">
        <v>103</v>
      </c>
      <c r="D39" s="34" t="s">
        <v>15</v>
      </c>
      <c r="E39" s="36">
        <v>6.0</v>
      </c>
      <c r="F39" s="36"/>
      <c r="G39" s="11"/>
      <c r="H39" s="11"/>
      <c r="I39" s="11"/>
      <c r="J39" s="11"/>
      <c r="K39" s="11"/>
      <c r="L39" s="11"/>
      <c r="M39" s="11"/>
      <c r="N39" s="9"/>
      <c r="O39" s="9"/>
      <c r="P39" s="9"/>
    </row>
    <row r="40" ht="13.5" customHeight="1">
      <c r="A40" s="9"/>
      <c r="B40" s="28" t="s">
        <v>25</v>
      </c>
      <c r="C40" s="31" t="s">
        <v>83</v>
      </c>
      <c r="D40" s="34" t="s">
        <v>15</v>
      </c>
      <c r="E40" s="36">
        <v>5.0</v>
      </c>
      <c r="F40" s="36"/>
      <c r="G40" s="11"/>
      <c r="H40" s="11"/>
      <c r="I40" s="11"/>
      <c r="J40" s="11"/>
      <c r="K40" s="11"/>
      <c r="L40" s="11"/>
      <c r="M40" s="11"/>
      <c r="N40" s="9"/>
      <c r="O40" s="9"/>
      <c r="P40" s="9"/>
    </row>
    <row r="41" ht="13.5" customHeight="1">
      <c r="A41" s="9"/>
      <c r="B41" s="28" t="s">
        <v>34</v>
      </c>
      <c r="C41" s="37" t="s">
        <v>78</v>
      </c>
      <c r="D41" s="42" t="s">
        <v>23</v>
      </c>
      <c r="E41" s="36">
        <v>5.0</v>
      </c>
      <c r="F41" s="36"/>
      <c r="G41" s="11"/>
      <c r="H41" s="11"/>
      <c r="I41" s="11"/>
      <c r="J41" s="11"/>
      <c r="K41" s="11"/>
      <c r="L41" s="11"/>
      <c r="M41" s="11"/>
      <c r="N41" s="9"/>
      <c r="O41" s="9"/>
      <c r="P41" s="9"/>
    </row>
    <row r="42" ht="13.5" customHeight="1">
      <c r="A42" s="9"/>
      <c r="B42" s="28" t="s">
        <v>27</v>
      </c>
      <c r="C42" s="40" t="s">
        <v>120</v>
      </c>
      <c r="D42" s="34" t="s">
        <v>58</v>
      </c>
      <c r="E42" s="36">
        <v>5.0</v>
      </c>
      <c r="F42" s="36"/>
      <c r="G42" s="11"/>
      <c r="H42" s="11"/>
      <c r="I42" s="11"/>
      <c r="J42" s="11"/>
      <c r="K42" s="11"/>
      <c r="L42" s="11"/>
      <c r="M42" s="11"/>
      <c r="N42" s="9"/>
      <c r="O42" s="9"/>
      <c r="P42" s="9"/>
    </row>
    <row r="43" ht="13.5" customHeight="1">
      <c r="A43" s="9"/>
      <c r="B43" s="28" t="s">
        <v>43</v>
      </c>
      <c r="C43" s="70" t="s">
        <v>121</v>
      </c>
      <c r="D43" s="36" t="s">
        <v>46</v>
      </c>
      <c r="E43" s="36">
        <v>6.0</v>
      </c>
      <c r="F43" s="36"/>
      <c r="G43" s="49" t="s">
        <v>49</v>
      </c>
      <c r="H43" s="11"/>
      <c r="I43" s="11"/>
      <c r="J43" s="11"/>
      <c r="K43" s="11"/>
      <c r="L43" s="11"/>
      <c r="M43" s="11"/>
      <c r="N43" s="9"/>
      <c r="O43" s="9"/>
      <c r="P43" s="9"/>
    </row>
    <row r="44" ht="13.5" customHeight="1">
      <c r="A44" s="9"/>
      <c r="B44" s="47"/>
      <c r="C44" s="53"/>
      <c r="D44" s="50"/>
      <c r="E44" s="35"/>
      <c r="F44" s="11"/>
      <c r="G44" s="11"/>
      <c r="H44" s="11"/>
      <c r="I44" s="11"/>
      <c r="J44" s="11"/>
      <c r="K44" s="11"/>
      <c r="L44" s="11"/>
      <c r="M44" s="11"/>
      <c r="N44" s="9"/>
      <c r="O44" s="9"/>
      <c r="P44" s="9"/>
    </row>
    <row r="45" ht="13.5" customHeight="1">
      <c r="A45" s="9"/>
      <c r="B45" s="65" t="s">
        <v>123</v>
      </c>
      <c r="C45" s="54"/>
      <c r="D45" s="51"/>
      <c r="E45" s="29"/>
      <c r="F45" s="11"/>
      <c r="G45" s="11"/>
      <c r="H45" s="11"/>
      <c r="I45" s="11"/>
      <c r="J45" s="11"/>
      <c r="K45" s="11"/>
      <c r="L45" s="11"/>
      <c r="M45" s="11"/>
      <c r="N45" s="9"/>
      <c r="O45" s="9"/>
      <c r="P45" s="9"/>
    </row>
    <row r="46" ht="13.5" customHeight="1">
      <c r="A46" s="9"/>
      <c r="B46" s="28" t="s">
        <v>17</v>
      </c>
      <c r="C46" s="1" t="s">
        <v>103</v>
      </c>
      <c r="D46" s="34" t="s">
        <v>15</v>
      </c>
      <c r="E46" s="36">
        <v>6.0</v>
      </c>
      <c r="F46" s="31" t="s">
        <v>83</v>
      </c>
      <c r="G46" s="11"/>
      <c r="H46" s="11"/>
      <c r="I46" s="11"/>
      <c r="J46" s="11"/>
      <c r="K46" s="11"/>
      <c r="L46" s="11"/>
      <c r="M46" s="11"/>
      <c r="N46" s="9"/>
      <c r="O46" s="9"/>
      <c r="P46" s="9"/>
    </row>
    <row r="47" ht="13.5" customHeight="1">
      <c r="A47" s="9"/>
      <c r="B47" s="28" t="s">
        <v>25</v>
      </c>
      <c r="C47" s="75"/>
      <c r="D47" s="36"/>
      <c r="E47" s="36">
        <v>5.0</v>
      </c>
      <c r="F47" s="36"/>
      <c r="G47" s="11"/>
      <c r="H47" s="11"/>
      <c r="I47" s="11"/>
      <c r="J47" s="11"/>
      <c r="K47" s="11"/>
      <c r="L47" s="11"/>
      <c r="M47" s="11"/>
      <c r="N47" s="9"/>
      <c r="O47" s="9"/>
      <c r="P47" s="9"/>
    </row>
    <row r="48" ht="13.5" customHeight="1">
      <c r="A48" s="9"/>
      <c r="B48" s="28" t="s">
        <v>34</v>
      </c>
      <c r="C48" s="1" t="s">
        <v>107</v>
      </c>
      <c r="D48" s="42" t="s">
        <v>23</v>
      </c>
      <c r="E48" s="36">
        <v>5.0</v>
      </c>
      <c r="F48" s="36"/>
      <c r="G48" s="11"/>
      <c r="H48" s="11"/>
      <c r="I48" s="11"/>
      <c r="J48" s="11"/>
      <c r="K48" s="11"/>
      <c r="L48" s="11"/>
      <c r="M48" s="11"/>
      <c r="N48" s="9"/>
      <c r="O48" s="9"/>
      <c r="P48" s="9"/>
    </row>
    <row r="49" ht="13.5" customHeight="1">
      <c r="A49" s="9"/>
      <c r="B49" s="28" t="s">
        <v>27</v>
      </c>
      <c r="C49" s="40"/>
      <c r="D49" s="34" t="s">
        <v>48</v>
      </c>
      <c r="E49" s="36">
        <v>5.0</v>
      </c>
      <c r="F49" s="36"/>
      <c r="G49" s="11"/>
      <c r="H49" s="11"/>
      <c r="I49" s="11"/>
      <c r="J49" s="11"/>
      <c r="K49" s="11"/>
      <c r="L49" s="11"/>
      <c r="M49" s="11"/>
      <c r="N49" s="9"/>
      <c r="O49" s="9"/>
      <c r="P49" s="9"/>
    </row>
    <row r="50" ht="13.5" customHeight="1">
      <c r="A50" s="9"/>
      <c r="B50" s="28" t="s">
        <v>43</v>
      </c>
      <c r="C50" s="70" t="s">
        <v>129</v>
      </c>
      <c r="D50" s="36" t="s">
        <v>46</v>
      </c>
      <c r="E50" s="36">
        <v>6.0</v>
      </c>
      <c r="F50" s="36"/>
      <c r="G50" s="49" t="s">
        <v>49</v>
      </c>
      <c r="H50" s="11"/>
      <c r="I50" s="11"/>
      <c r="J50" s="11"/>
      <c r="K50" s="11"/>
      <c r="L50" s="11"/>
      <c r="M50" s="11"/>
      <c r="N50" s="9"/>
      <c r="O50" s="9"/>
      <c r="P50" s="9"/>
    </row>
    <row r="51" ht="13.5" customHeight="1">
      <c r="A51" s="9"/>
      <c r="B51" s="47"/>
      <c r="C51" s="53"/>
      <c r="D51" s="8"/>
      <c r="E51" s="35"/>
      <c r="F51" s="11"/>
      <c r="G51" s="11"/>
      <c r="H51" s="11"/>
      <c r="I51" s="11"/>
      <c r="J51" s="11"/>
      <c r="K51" s="11"/>
      <c r="L51" s="11"/>
      <c r="M51" s="11"/>
      <c r="N51" s="9"/>
      <c r="O51" s="9"/>
      <c r="P51" s="9"/>
    </row>
    <row r="52" ht="13.5" customHeight="1">
      <c r="A52" s="9"/>
      <c r="B52" s="65" t="s">
        <v>132</v>
      </c>
      <c r="C52" s="54"/>
      <c r="D52" s="23"/>
      <c r="E52" s="29"/>
      <c r="F52" s="11"/>
      <c r="G52" s="11"/>
      <c r="H52" s="11"/>
      <c r="I52" s="11"/>
      <c r="J52" s="11"/>
      <c r="K52" s="11"/>
      <c r="L52" s="11"/>
      <c r="M52" s="11"/>
      <c r="N52" s="9"/>
      <c r="O52" s="9"/>
      <c r="P52" s="9"/>
    </row>
    <row r="53" ht="13.5" customHeight="1">
      <c r="A53" s="9"/>
      <c r="B53" s="28" t="s">
        <v>17</v>
      </c>
      <c r="C53" s="1" t="s">
        <v>103</v>
      </c>
      <c r="D53" s="34" t="s">
        <v>15</v>
      </c>
      <c r="E53" s="36">
        <v>6.0</v>
      </c>
      <c r="F53" s="36"/>
      <c r="G53" s="11"/>
      <c r="H53" s="11"/>
      <c r="I53" s="11"/>
      <c r="J53" s="11"/>
      <c r="K53" s="11"/>
      <c r="L53" s="11"/>
      <c r="M53" s="11"/>
      <c r="N53" s="9"/>
      <c r="O53" s="9"/>
      <c r="P53" s="9"/>
    </row>
    <row r="54" ht="13.5" customHeight="1">
      <c r="A54" s="9"/>
      <c r="B54" s="28" t="s">
        <v>25</v>
      </c>
      <c r="C54" s="75"/>
      <c r="D54" s="36"/>
      <c r="E54" s="36">
        <v>5.0</v>
      </c>
      <c r="F54" s="36"/>
      <c r="G54" s="11"/>
      <c r="H54" s="11"/>
      <c r="I54" s="11"/>
      <c r="J54" s="11"/>
      <c r="K54" s="11"/>
      <c r="L54" s="11"/>
      <c r="M54" s="11"/>
      <c r="N54" s="9"/>
      <c r="O54" s="9"/>
      <c r="P54" s="9"/>
    </row>
    <row r="55" ht="13.5" customHeight="1">
      <c r="A55" s="9"/>
      <c r="B55" s="28" t="s">
        <v>34</v>
      </c>
      <c r="C55" s="40" t="s">
        <v>101</v>
      </c>
      <c r="D55" s="42" t="s">
        <v>23</v>
      </c>
      <c r="E55" s="36">
        <v>5.0</v>
      </c>
      <c r="F55" s="36"/>
      <c r="G55" s="11"/>
      <c r="H55" s="11"/>
      <c r="I55" s="11"/>
      <c r="J55" s="11"/>
      <c r="K55" s="11"/>
      <c r="L55" s="11"/>
      <c r="M55" s="11"/>
      <c r="N55" s="9"/>
      <c r="O55" s="9"/>
      <c r="P55" s="9"/>
    </row>
    <row r="56" ht="13.5" customHeight="1">
      <c r="A56" s="9"/>
      <c r="B56" s="28" t="s">
        <v>27</v>
      </c>
      <c r="C56" s="40" t="s">
        <v>140</v>
      </c>
      <c r="D56" s="34" t="s">
        <v>41</v>
      </c>
      <c r="E56" s="36">
        <v>5.0</v>
      </c>
      <c r="F56" s="36"/>
      <c r="G56" s="11"/>
      <c r="H56" s="11"/>
      <c r="I56" s="11"/>
      <c r="J56" s="11"/>
      <c r="K56" s="11"/>
      <c r="L56" s="11"/>
      <c r="M56" s="11"/>
      <c r="N56" s="9"/>
      <c r="O56" s="9"/>
      <c r="P56" s="9"/>
    </row>
    <row r="57" ht="13.5" customHeight="1">
      <c r="A57" s="9"/>
      <c r="B57" s="28" t="s">
        <v>43</v>
      </c>
      <c r="C57" s="70" t="s">
        <v>121</v>
      </c>
      <c r="D57" s="36" t="s">
        <v>46</v>
      </c>
      <c r="E57" s="36">
        <v>6.0</v>
      </c>
      <c r="F57" s="36"/>
      <c r="G57" s="49" t="s">
        <v>49</v>
      </c>
      <c r="H57" s="11"/>
      <c r="I57" s="11"/>
      <c r="J57" s="11"/>
      <c r="K57" s="11"/>
      <c r="L57" s="11"/>
      <c r="M57" s="11"/>
      <c r="N57" s="9"/>
      <c r="O57" s="9"/>
      <c r="P57" s="9"/>
    </row>
    <row r="58" ht="13.5" customHeight="1">
      <c r="A58" s="9"/>
      <c r="B58" s="47"/>
      <c r="C58" s="53"/>
      <c r="D58" s="8"/>
      <c r="E58" s="35"/>
      <c r="F58" s="11"/>
      <c r="G58" s="11"/>
      <c r="H58" s="11"/>
      <c r="I58" s="11"/>
      <c r="J58" s="11"/>
      <c r="K58" s="11"/>
      <c r="L58" s="11"/>
      <c r="M58" s="11"/>
      <c r="N58" s="9"/>
      <c r="O58" s="9"/>
      <c r="P58" s="9"/>
    </row>
    <row r="59" ht="13.5" customHeight="1">
      <c r="A59" s="9"/>
      <c r="B59" s="65" t="s">
        <v>144</v>
      </c>
      <c r="C59" s="54"/>
      <c r="D59" s="23"/>
      <c r="E59" s="29"/>
      <c r="F59" s="11"/>
      <c r="G59" s="11"/>
      <c r="H59" s="11"/>
      <c r="I59" s="11"/>
      <c r="J59" s="11"/>
      <c r="K59" s="11"/>
      <c r="L59" s="11"/>
      <c r="M59" s="11"/>
      <c r="N59" s="9"/>
      <c r="O59" s="9"/>
      <c r="P59" s="9"/>
    </row>
    <row r="60" ht="13.5" customHeight="1">
      <c r="A60" s="9"/>
      <c r="B60" s="28" t="s">
        <v>17</v>
      </c>
      <c r="C60" s="1" t="s">
        <v>147</v>
      </c>
      <c r="D60" s="34" t="s">
        <v>15</v>
      </c>
      <c r="E60" s="36">
        <v>6.0</v>
      </c>
      <c r="F60" s="36"/>
      <c r="G60" s="11"/>
      <c r="H60" s="11"/>
      <c r="I60" s="11"/>
      <c r="J60" s="11"/>
      <c r="K60" s="11"/>
      <c r="L60" s="11"/>
      <c r="M60" s="11"/>
      <c r="N60" s="9"/>
      <c r="O60" s="9"/>
      <c r="P60" s="9"/>
    </row>
    <row r="61" ht="13.5" customHeight="1">
      <c r="A61" s="9"/>
      <c r="B61" s="28" t="s">
        <v>25</v>
      </c>
      <c r="C61" s="75"/>
      <c r="D61" s="36"/>
      <c r="E61" s="36">
        <v>5.0</v>
      </c>
      <c r="F61" s="36"/>
      <c r="G61" s="11"/>
      <c r="H61" s="11"/>
      <c r="I61" s="11"/>
      <c r="J61" s="11"/>
      <c r="K61" s="11"/>
      <c r="L61" s="11"/>
      <c r="M61" s="11"/>
      <c r="N61" s="9"/>
      <c r="O61" s="9"/>
      <c r="P61" s="9"/>
    </row>
    <row r="62" ht="13.5" customHeight="1">
      <c r="A62" s="9"/>
      <c r="B62" s="28" t="s">
        <v>34</v>
      </c>
      <c r="C62" s="38" t="s">
        <v>127</v>
      </c>
      <c r="D62" s="42" t="s">
        <v>23</v>
      </c>
      <c r="E62" s="36">
        <v>5.0</v>
      </c>
      <c r="F62" s="36"/>
      <c r="G62" s="11"/>
      <c r="H62" s="11"/>
      <c r="I62" s="11"/>
      <c r="J62" s="11"/>
      <c r="K62" s="11"/>
      <c r="L62" s="11"/>
      <c r="M62" s="11"/>
      <c r="N62" s="9"/>
      <c r="O62" s="9"/>
      <c r="P62" s="9"/>
    </row>
    <row r="63" ht="13.5" customHeight="1">
      <c r="A63" s="9"/>
      <c r="B63" s="28" t="s">
        <v>27</v>
      </c>
      <c r="C63" s="38" t="s">
        <v>140</v>
      </c>
      <c r="D63" s="34" t="s">
        <v>41</v>
      </c>
      <c r="E63" s="36">
        <v>5.0</v>
      </c>
      <c r="F63" s="36"/>
      <c r="G63" s="11"/>
      <c r="H63" s="11"/>
      <c r="I63" s="11"/>
      <c r="J63" s="11"/>
      <c r="K63" s="11"/>
      <c r="L63" s="11"/>
      <c r="M63" s="11"/>
      <c r="N63" s="9"/>
      <c r="O63" s="9"/>
      <c r="P63" s="9"/>
    </row>
    <row r="64" ht="13.5" customHeight="1">
      <c r="A64" s="9"/>
      <c r="B64" s="28" t="s">
        <v>43</v>
      </c>
      <c r="C64" s="70" t="s">
        <v>129</v>
      </c>
      <c r="D64" s="36" t="s">
        <v>46</v>
      </c>
      <c r="E64" s="36">
        <v>6.0</v>
      </c>
      <c r="F64" s="36"/>
      <c r="G64" s="49" t="s">
        <v>49</v>
      </c>
      <c r="H64" s="11"/>
      <c r="I64" s="11"/>
      <c r="J64" s="11"/>
      <c r="K64" s="11"/>
      <c r="L64" s="11"/>
      <c r="M64" s="11"/>
      <c r="N64" s="9"/>
      <c r="O64" s="9"/>
      <c r="P64" s="9"/>
    </row>
    <row r="65" ht="13.5" customHeight="1">
      <c r="A65" s="9"/>
      <c r="B65" s="47"/>
      <c r="C65" s="53"/>
      <c r="D65" s="8"/>
      <c r="E65" s="35"/>
      <c r="F65" s="11"/>
      <c r="G65" s="11"/>
      <c r="H65" s="11"/>
      <c r="I65" s="11"/>
      <c r="J65" s="11"/>
      <c r="K65" s="11"/>
      <c r="L65" s="11"/>
      <c r="M65" s="11"/>
      <c r="N65" s="9"/>
      <c r="O65" s="9"/>
      <c r="P65" s="9"/>
    </row>
    <row r="66" ht="13.5" customHeight="1">
      <c r="A66" s="9"/>
      <c r="B66" s="79" t="s">
        <v>152</v>
      </c>
      <c r="C66" s="54"/>
      <c r="D66" s="23"/>
      <c r="E66" s="29"/>
      <c r="F66" s="11"/>
      <c r="G66" s="11"/>
      <c r="H66" s="11"/>
      <c r="I66" s="11"/>
      <c r="J66" s="11"/>
      <c r="K66" s="11"/>
      <c r="L66" s="11"/>
      <c r="M66" s="11"/>
      <c r="N66" s="9"/>
      <c r="O66" s="9"/>
      <c r="P66" s="9"/>
    </row>
    <row r="67" ht="13.5" customHeight="1">
      <c r="A67" s="9"/>
      <c r="B67" s="28" t="s">
        <v>17</v>
      </c>
      <c r="C67" s="1" t="s">
        <v>147</v>
      </c>
      <c r="D67" s="34" t="s">
        <v>15</v>
      </c>
      <c r="E67" s="36">
        <v>6.0</v>
      </c>
      <c r="F67" s="36"/>
      <c r="G67" s="11"/>
      <c r="H67" s="11"/>
      <c r="I67" s="11"/>
      <c r="J67" s="11"/>
      <c r="K67" s="11"/>
      <c r="L67" s="11"/>
      <c r="M67" s="11"/>
      <c r="N67" s="9"/>
      <c r="O67" s="9"/>
      <c r="P67" s="9"/>
    </row>
    <row r="68" ht="13.5" customHeight="1">
      <c r="A68" s="9"/>
      <c r="B68" s="28" t="s">
        <v>25</v>
      </c>
      <c r="C68" s="75"/>
      <c r="D68" s="36"/>
      <c r="E68" s="36">
        <v>5.0</v>
      </c>
      <c r="F68" s="36"/>
      <c r="G68" s="11"/>
      <c r="H68" s="11"/>
      <c r="I68" s="11"/>
      <c r="J68" s="11"/>
      <c r="K68" s="11"/>
      <c r="L68" s="11"/>
      <c r="M68" s="11"/>
      <c r="N68" s="9"/>
      <c r="O68" s="9"/>
      <c r="P68" s="9"/>
    </row>
    <row r="69" ht="13.5" customHeight="1">
      <c r="A69" s="9"/>
      <c r="B69" s="28" t="s">
        <v>34</v>
      </c>
      <c r="C69" s="40" t="s">
        <v>101</v>
      </c>
      <c r="D69" s="34" t="s">
        <v>23</v>
      </c>
      <c r="E69" s="36">
        <v>5.0</v>
      </c>
      <c r="F69" s="36"/>
      <c r="G69" s="11"/>
      <c r="H69" s="11"/>
      <c r="I69" s="11"/>
      <c r="J69" s="11"/>
      <c r="K69" s="11"/>
      <c r="L69" s="11"/>
      <c r="M69" s="11"/>
      <c r="N69" s="9"/>
      <c r="O69" s="9"/>
      <c r="P69" s="9"/>
    </row>
    <row r="70" ht="13.5" customHeight="1">
      <c r="A70" s="9"/>
      <c r="B70" s="28" t="s">
        <v>27</v>
      </c>
      <c r="C70" s="38" t="s">
        <v>159</v>
      </c>
      <c r="D70" s="34" t="s">
        <v>41</v>
      </c>
      <c r="E70" s="36">
        <v>5.0</v>
      </c>
      <c r="F70" s="36"/>
      <c r="G70" s="11"/>
      <c r="H70" s="11"/>
      <c r="I70" s="11"/>
      <c r="J70" s="11"/>
      <c r="K70" s="11"/>
      <c r="L70" s="11"/>
      <c r="M70" s="11"/>
      <c r="N70" s="9"/>
      <c r="O70" s="9"/>
      <c r="P70" s="9"/>
    </row>
    <row r="71" ht="13.5" customHeight="1">
      <c r="A71" s="9"/>
      <c r="B71" s="28" t="s">
        <v>43</v>
      </c>
      <c r="C71" s="70" t="s">
        <v>112</v>
      </c>
      <c r="D71" s="36" t="s">
        <v>46</v>
      </c>
      <c r="E71" s="36">
        <v>6.0</v>
      </c>
      <c r="F71" s="36"/>
      <c r="G71" s="49" t="s">
        <v>49</v>
      </c>
      <c r="H71" s="11"/>
      <c r="I71" s="11"/>
      <c r="J71" s="11"/>
      <c r="K71" s="11"/>
      <c r="L71" s="11"/>
      <c r="M71" s="11"/>
      <c r="N71" s="9"/>
      <c r="O71" s="9"/>
      <c r="P71" s="9"/>
    </row>
    <row r="72" ht="13.5" customHeight="1">
      <c r="A72" s="9"/>
      <c r="B72" s="47"/>
      <c r="C72" s="53"/>
      <c r="D72" s="8"/>
      <c r="E72" s="35"/>
      <c r="F72" s="11"/>
      <c r="G72" s="11"/>
      <c r="H72" s="11"/>
      <c r="I72" s="11"/>
      <c r="J72" s="11"/>
      <c r="K72" s="11"/>
      <c r="L72" s="11"/>
      <c r="M72" s="11"/>
      <c r="N72" s="9"/>
      <c r="O72" s="9"/>
      <c r="P72" s="9"/>
    </row>
    <row r="73" ht="13.5" customHeight="1">
      <c r="A73" s="9"/>
      <c r="B73" s="22" t="s">
        <v>166</v>
      </c>
      <c r="C73" s="54"/>
      <c r="D73" s="8"/>
      <c r="E73" s="29"/>
      <c r="F73" s="11"/>
      <c r="G73" s="11"/>
      <c r="H73" s="11"/>
      <c r="I73" s="11"/>
      <c r="J73" s="11"/>
      <c r="K73" s="11"/>
      <c r="L73" s="11"/>
      <c r="M73" s="11"/>
      <c r="N73" s="9"/>
      <c r="O73" s="9"/>
      <c r="P73" s="9"/>
    </row>
    <row r="74" ht="13.5" customHeight="1">
      <c r="A74" s="9"/>
      <c r="B74" s="28" t="s">
        <v>168</v>
      </c>
      <c r="C74" s="1" t="s">
        <v>170</v>
      </c>
      <c r="D74" s="36" t="s">
        <v>46</v>
      </c>
      <c r="E74" s="36">
        <v>5.0</v>
      </c>
      <c r="F74" s="36">
        <v>40.0</v>
      </c>
      <c r="G74" s="49" t="s">
        <v>49</v>
      </c>
      <c r="H74" s="11"/>
      <c r="I74" s="11"/>
      <c r="J74" s="11"/>
      <c r="K74" s="11"/>
      <c r="L74" s="11"/>
      <c r="M74" s="11"/>
      <c r="N74" s="9"/>
      <c r="O74" s="9"/>
      <c r="P74" s="9"/>
    </row>
    <row r="75" ht="13.5" customHeight="1">
      <c r="A75" s="9"/>
      <c r="B75" s="28" t="s">
        <v>173</v>
      </c>
      <c r="C75" s="31" t="s">
        <v>174</v>
      </c>
      <c r="D75" s="34" t="s">
        <v>15</v>
      </c>
      <c r="E75" s="36">
        <v>5.0</v>
      </c>
      <c r="F75" s="36">
        <v>40.0</v>
      </c>
      <c r="G75" s="11"/>
      <c r="H75" s="11"/>
      <c r="I75" s="11"/>
      <c r="J75" s="11"/>
      <c r="K75" s="11"/>
      <c r="L75" s="11"/>
      <c r="M75" s="11"/>
      <c r="N75" s="9"/>
      <c r="O75" s="9"/>
      <c r="P75" s="9"/>
    </row>
    <row r="76" ht="13.5" customHeight="1">
      <c r="A76" s="9"/>
      <c r="B76" s="28" t="s">
        <v>179</v>
      </c>
      <c r="C76" s="41" t="s">
        <v>35</v>
      </c>
      <c r="D76" s="34" t="s">
        <v>23</v>
      </c>
      <c r="E76" s="36">
        <v>5.0</v>
      </c>
      <c r="F76" s="36">
        <v>40.0</v>
      </c>
      <c r="G76" s="11"/>
      <c r="H76" s="11"/>
      <c r="I76" s="11"/>
      <c r="J76" s="11"/>
      <c r="K76" s="11"/>
      <c r="L76" s="11"/>
      <c r="M76" s="11"/>
      <c r="N76" s="9"/>
      <c r="O76" s="9"/>
      <c r="P76" s="9"/>
    </row>
    <row r="77" ht="13.5" customHeight="1">
      <c r="A77" s="9"/>
      <c r="B77" s="28" t="s">
        <v>181</v>
      </c>
      <c r="C77" s="38" t="s">
        <v>182</v>
      </c>
      <c r="D77" s="36" t="s">
        <v>46</v>
      </c>
      <c r="E77" s="36">
        <v>5.0</v>
      </c>
      <c r="F77" s="36">
        <v>40.0</v>
      </c>
      <c r="G77" s="11"/>
      <c r="H77" s="11"/>
      <c r="I77" s="11"/>
      <c r="J77" s="11"/>
      <c r="K77" s="11"/>
      <c r="L77" s="11"/>
      <c r="M77" s="11"/>
      <c r="N77" s="9"/>
      <c r="O77" s="9"/>
      <c r="P77" s="9"/>
    </row>
    <row r="78" ht="13.5" customHeight="1">
      <c r="A78" s="9"/>
      <c r="B78" s="28" t="s">
        <v>184</v>
      </c>
      <c r="C78" s="33" t="s">
        <v>44</v>
      </c>
      <c r="D78" s="34" t="s">
        <v>46</v>
      </c>
      <c r="E78" s="36">
        <v>5.0</v>
      </c>
      <c r="F78" s="36">
        <v>40.0</v>
      </c>
      <c r="G78" s="49" t="s">
        <v>49</v>
      </c>
      <c r="H78" s="11"/>
      <c r="I78" s="11"/>
      <c r="J78" s="11"/>
      <c r="K78" s="11"/>
      <c r="L78" s="11"/>
      <c r="M78" s="11"/>
      <c r="N78" s="9"/>
      <c r="O78" s="9"/>
      <c r="P78" s="9"/>
    </row>
    <row r="79" ht="13.5" customHeight="1">
      <c r="A79" s="9"/>
      <c r="B79" s="47"/>
      <c r="C79" s="8"/>
      <c r="D79" s="8"/>
      <c r="E79" s="35"/>
      <c r="F79" s="11"/>
      <c r="G79" s="11"/>
      <c r="H79" s="11"/>
      <c r="I79" s="11"/>
      <c r="J79" s="11"/>
      <c r="K79" s="11"/>
      <c r="L79" s="11"/>
      <c r="M79" s="11"/>
      <c r="N79" s="9"/>
      <c r="O79" s="9"/>
      <c r="P79" s="9"/>
    </row>
    <row r="80" ht="13.5" customHeight="1">
      <c r="A80" s="9"/>
      <c r="B80" s="22" t="s">
        <v>185</v>
      </c>
      <c r="C80" s="23"/>
      <c r="D80" s="84"/>
      <c r="E80" s="29"/>
      <c r="F80" s="11"/>
      <c r="G80" s="11"/>
      <c r="H80" s="11"/>
      <c r="I80" s="11"/>
      <c r="J80" s="11"/>
      <c r="K80" s="11"/>
      <c r="L80" s="11"/>
      <c r="M80" s="11"/>
      <c r="N80" s="9"/>
      <c r="O80" s="9"/>
      <c r="P80" s="9"/>
    </row>
    <row r="81" ht="13.5" customHeight="1">
      <c r="A81" s="9"/>
      <c r="B81" s="28" t="s">
        <v>168</v>
      </c>
      <c r="C81" s="1" t="s">
        <v>62</v>
      </c>
      <c r="D81" s="36" t="s">
        <v>46</v>
      </c>
      <c r="E81" s="36">
        <v>5.0</v>
      </c>
      <c r="F81" s="36">
        <v>40.0</v>
      </c>
      <c r="G81" s="49" t="s">
        <v>49</v>
      </c>
      <c r="H81" s="11"/>
      <c r="I81" s="11"/>
      <c r="J81" s="11"/>
      <c r="K81" s="11"/>
      <c r="L81" s="11"/>
      <c r="M81" s="11"/>
      <c r="N81" s="9"/>
      <c r="O81" s="9"/>
      <c r="P81" s="9"/>
    </row>
    <row r="82" ht="13.5" customHeight="1">
      <c r="A82" s="9"/>
      <c r="B82" s="28" t="s">
        <v>173</v>
      </c>
      <c r="C82" s="31" t="s">
        <v>174</v>
      </c>
      <c r="D82" s="34" t="s">
        <v>15</v>
      </c>
      <c r="E82" s="36">
        <v>5.0</v>
      </c>
      <c r="F82" s="36">
        <v>40.0</v>
      </c>
      <c r="G82" s="11"/>
      <c r="H82" s="11"/>
      <c r="I82" s="11"/>
      <c r="J82" s="11"/>
      <c r="K82" s="11"/>
      <c r="L82" s="11"/>
      <c r="M82" s="11"/>
      <c r="N82" s="9"/>
      <c r="O82" s="9"/>
      <c r="P82" s="9"/>
    </row>
    <row r="83" ht="13.5" customHeight="1">
      <c r="A83" s="9"/>
      <c r="B83" s="28" t="s">
        <v>179</v>
      </c>
      <c r="C83" s="41" t="s">
        <v>35</v>
      </c>
      <c r="D83" s="34" t="s">
        <v>23</v>
      </c>
      <c r="E83" s="36">
        <v>5.0</v>
      </c>
      <c r="F83" s="36">
        <v>40.0</v>
      </c>
      <c r="G83" s="11"/>
      <c r="H83" s="11"/>
      <c r="I83" s="11"/>
      <c r="J83" s="11"/>
      <c r="K83" s="11"/>
      <c r="L83" s="11"/>
      <c r="M83" s="11"/>
      <c r="N83" s="9"/>
      <c r="O83" s="9"/>
      <c r="P83" s="9"/>
    </row>
    <row r="84" ht="13.5" customHeight="1">
      <c r="A84" s="9"/>
      <c r="B84" s="28" t="s">
        <v>181</v>
      </c>
      <c r="C84" s="38" t="s">
        <v>182</v>
      </c>
      <c r="D84" s="36" t="s">
        <v>46</v>
      </c>
      <c r="E84" s="36">
        <v>5.0</v>
      </c>
      <c r="F84" s="36">
        <v>40.0</v>
      </c>
      <c r="G84" s="11"/>
      <c r="H84" s="11"/>
      <c r="I84" s="11"/>
      <c r="J84" s="11"/>
      <c r="K84" s="11"/>
      <c r="L84" s="11"/>
      <c r="M84" s="11"/>
      <c r="N84" s="9"/>
      <c r="O84" s="9"/>
      <c r="P84" s="9"/>
    </row>
    <row r="85" ht="13.5" customHeight="1">
      <c r="A85" s="9"/>
      <c r="B85" s="28" t="s">
        <v>184</v>
      </c>
      <c r="C85" s="1" t="s">
        <v>190</v>
      </c>
      <c r="D85" s="34" t="s">
        <v>46</v>
      </c>
      <c r="E85" s="36">
        <v>5.0</v>
      </c>
      <c r="F85" s="36">
        <v>40.0</v>
      </c>
      <c r="G85" s="49" t="s">
        <v>49</v>
      </c>
      <c r="H85" s="11"/>
      <c r="I85" s="11"/>
      <c r="J85" s="11"/>
      <c r="K85" s="11"/>
      <c r="L85" s="11"/>
      <c r="M85" s="11"/>
      <c r="N85" s="9"/>
      <c r="O85" s="9"/>
      <c r="P85" s="9"/>
    </row>
    <row r="86" ht="13.5" customHeight="1">
      <c r="A86" s="9"/>
      <c r="B86" s="47"/>
      <c r="C86" s="8"/>
      <c r="D86" s="8"/>
      <c r="E86" s="35"/>
      <c r="F86" s="11"/>
      <c r="G86" s="11"/>
      <c r="H86" s="11"/>
      <c r="I86" s="11"/>
      <c r="J86" s="11"/>
      <c r="K86" s="11"/>
      <c r="L86" s="11"/>
      <c r="M86" s="11"/>
      <c r="N86" s="9"/>
      <c r="O86" s="9"/>
      <c r="P86" s="9"/>
    </row>
    <row r="87" ht="13.5" customHeight="1">
      <c r="A87" s="9"/>
      <c r="B87" s="22" t="s">
        <v>192</v>
      </c>
      <c r="C87" s="23"/>
      <c r="D87" s="84"/>
      <c r="E87" s="29"/>
      <c r="F87" s="11"/>
      <c r="G87" s="11"/>
      <c r="H87" s="11"/>
      <c r="I87" s="11"/>
      <c r="J87" s="11"/>
      <c r="K87" s="11"/>
      <c r="L87" s="11"/>
      <c r="M87" s="11"/>
      <c r="N87" s="9"/>
      <c r="O87" s="9"/>
      <c r="P87" s="9"/>
    </row>
    <row r="88" ht="13.5" customHeight="1">
      <c r="A88" s="9"/>
      <c r="B88" s="28" t="s">
        <v>168</v>
      </c>
      <c r="C88" s="38" t="s">
        <v>195</v>
      </c>
      <c r="D88" s="36" t="s">
        <v>46</v>
      </c>
      <c r="E88" s="36">
        <v>5.0</v>
      </c>
      <c r="F88" s="36">
        <v>40.0</v>
      </c>
      <c r="G88" s="49" t="s">
        <v>49</v>
      </c>
      <c r="H88" s="11"/>
      <c r="I88" s="11"/>
      <c r="J88" s="11"/>
      <c r="K88" s="11"/>
      <c r="L88" s="11"/>
      <c r="M88" s="11"/>
      <c r="N88" s="9"/>
      <c r="O88" s="9"/>
      <c r="P88" s="9"/>
    </row>
    <row r="89" ht="13.5" customHeight="1">
      <c r="A89" s="9"/>
      <c r="B89" s="28" t="s">
        <v>173</v>
      </c>
      <c r="C89" s="31" t="s">
        <v>174</v>
      </c>
      <c r="D89" s="34" t="s">
        <v>15</v>
      </c>
      <c r="E89" s="36">
        <v>5.0</v>
      </c>
      <c r="F89" s="36">
        <v>40.0</v>
      </c>
      <c r="H89" s="11"/>
      <c r="I89" s="11"/>
      <c r="J89" s="11"/>
      <c r="K89" s="11"/>
      <c r="L89" s="11"/>
      <c r="M89" s="11"/>
      <c r="N89" s="9"/>
      <c r="O89" s="9"/>
      <c r="P89" s="9"/>
    </row>
    <row r="90" ht="13.5" customHeight="1">
      <c r="A90" s="9"/>
      <c r="B90" s="28" t="s">
        <v>179</v>
      </c>
      <c r="C90" s="57" t="s">
        <v>81</v>
      </c>
      <c r="D90" s="34" t="s">
        <v>23</v>
      </c>
      <c r="E90" s="36">
        <v>5.0</v>
      </c>
      <c r="F90" s="36">
        <v>40.0</v>
      </c>
      <c r="G90" s="11"/>
      <c r="H90" s="11"/>
      <c r="I90" s="11"/>
      <c r="J90" s="11"/>
      <c r="K90" s="11"/>
      <c r="L90" s="11"/>
      <c r="M90" s="11"/>
      <c r="N90" s="9"/>
      <c r="O90" s="9"/>
      <c r="P90" s="9"/>
    </row>
    <row r="91" ht="13.5" customHeight="1">
      <c r="A91" s="9"/>
      <c r="B91" s="28" t="s">
        <v>181</v>
      </c>
      <c r="C91" s="38" t="s">
        <v>198</v>
      </c>
      <c r="D91" s="36" t="s">
        <v>46</v>
      </c>
      <c r="E91" s="36">
        <v>5.0</v>
      </c>
      <c r="F91" s="36">
        <v>40.0</v>
      </c>
      <c r="G91" s="11"/>
      <c r="H91" s="11"/>
      <c r="I91" s="11"/>
      <c r="J91" s="11"/>
      <c r="K91" s="11"/>
      <c r="L91" s="11"/>
      <c r="M91" s="11"/>
      <c r="N91" s="9"/>
      <c r="O91" s="9"/>
      <c r="P91" s="9"/>
    </row>
    <row r="92" ht="13.5" customHeight="1">
      <c r="A92" s="9"/>
      <c r="B92" s="28" t="s">
        <v>184</v>
      </c>
      <c r="C92" s="1" t="s">
        <v>190</v>
      </c>
      <c r="D92" s="36" t="s">
        <v>46</v>
      </c>
      <c r="E92" s="36">
        <v>5.0</v>
      </c>
      <c r="F92" s="36">
        <v>40.0</v>
      </c>
      <c r="G92" s="49" t="s">
        <v>49</v>
      </c>
      <c r="H92" s="11"/>
      <c r="I92" s="11"/>
      <c r="J92" s="11"/>
      <c r="K92" s="11"/>
      <c r="L92" s="11"/>
      <c r="M92" s="11"/>
      <c r="N92" s="9"/>
      <c r="O92" s="9"/>
      <c r="P92" s="9"/>
    </row>
    <row r="93" ht="13.5" customHeight="1">
      <c r="A93" s="9"/>
      <c r="B93" s="47"/>
      <c r="C93" s="8"/>
      <c r="D93" s="8"/>
      <c r="E93" s="35"/>
      <c r="F93" s="11"/>
      <c r="G93" s="11"/>
      <c r="H93" s="11"/>
      <c r="I93" s="11"/>
      <c r="J93" s="11"/>
      <c r="K93" s="11"/>
      <c r="L93" s="11"/>
      <c r="M93" s="11"/>
      <c r="N93" s="9"/>
      <c r="O93" s="9"/>
      <c r="P93" s="9"/>
    </row>
    <row r="94" ht="13.5" customHeight="1">
      <c r="A94" s="9"/>
      <c r="B94" s="22" t="s">
        <v>200</v>
      </c>
      <c r="C94" s="23"/>
      <c r="D94" s="84"/>
      <c r="E94" s="29"/>
      <c r="F94" s="11"/>
      <c r="G94" s="11"/>
      <c r="H94" s="11"/>
      <c r="I94" s="11"/>
      <c r="J94" s="11"/>
      <c r="K94" s="11"/>
      <c r="L94" s="11"/>
      <c r="M94" s="11"/>
      <c r="N94" s="9"/>
      <c r="O94" s="9"/>
      <c r="P94" s="9"/>
    </row>
    <row r="95" ht="13.5" customHeight="1">
      <c r="A95" s="9"/>
      <c r="B95" s="28" t="s">
        <v>168</v>
      </c>
      <c r="C95" s="1" t="s">
        <v>62</v>
      </c>
      <c r="D95" s="34" t="s">
        <v>46</v>
      </c>
      <c r="E95" s="36">
        <v>5.0</v>
      </c>
      <c r="F95" s="36">
        <v>40.0</v>
      </c>
      <c r="G95" s="49" t="s">
        <v>49</v>
      </c>
      <c r="H95" s="11"/>
      <c r="I95" s="11"/>
      <c r="J95" s="11"/>
      <c r="K95" s="11"/>
      <c r="L95" s="11"/>
      <c r="M95" s="11"/>
      <c r="N95" s="9"/>
      <c r="O95" s="9"/>
      <c r="P95" s="9"/>
    </row>
    <row r="96" ht="13.5" customHeight="1">
      <c r="A96" s="9"/>
      <c r="B96" s="28" t="s">
        <v>173</v>
      </c>
      <c r="C96" s="31" t="s">
        <v>202</v>
      </c>
      <c r="D96" s="34" t="s">
        <v>15</v>
      </c>
      <c r="E96" s="36">
        <v>5.0</v>
      </c>
      <c r="F96" s="36">
        <v>40.0</v>
      </c>
      <c r="G96" s="11"/>
      <c r="H96" s="11"/>
      <c r="I96" s="11"/>
      <c r="J96" s="11"/>
      <c r="K96" s="11"/>
      <c r="L96" s="11"/>
      <c r="M96" s="11"/>
      <c r="N96" s="9"/>
      <c r="O96" s="9"/>
      <c r="P96" s="9"/>
    </row>
    <row r="97" ht="13.5" customHeight="1">
      <c r="A97" s="9"/>
      <c r="B97" s="28" t="s">
        <v>179</v>
      </c>
      <c r="C97" s="57" t="s">
        <v>81</v>
      </c>
      <c r="D97" s="34" t="s">
        <v>23</v>
      </c>
      <c r="E97" s="36">
        <v>5.0</v>
      </c>
      <c r="F97" s="36">
        <v>40.0</v>
      </c>
      <c r="G97" s="11"/>
      <c r="H97" s="11"/>
      <c r="I97" s="11"/>
      <c r="J97" s="11"/>
      <c r="K97" s="11"/>
      <c r="L97" s="11"/>
      <c r="M97" s="11"/>
      <c r="N97" s="9"/>
      <c r="O97" s="9"/>
      <c r="P97" s="9"/>
    </row>
    <row r="98" ht="13.5" customHeight="1">
      <c r="A98" s="9"/>
      <c r="B98" s="28" t="s">
        <v>181</v>
      </c>
      <c r="C98" s="41" t="s">
        <v>205</v>
      </c>
      <c r="D98" s="36" t="s">
        <v>46</v>
      </c>
      <c r="E98" s="36">
        <v>5.0</v>
      </c>
      <c r="F98" s="36">
        <v>40.0</v>
      </c>
      <c r="G98" s="11"/>
      <c r="H98" s="11"/>
      <c r="I98" s="11"/>
      <c r="J98" s="11"/>
      <c r="K98" s="11"/>
      <c r="L98" s="11"/>
      <c r="M98" s="11"/>
      <c r="N98" s="9"/>
      <c r="O98" s="9"/>
      <c r="P98" s="9"/>
    </row>
    <row r="99" ht="13.5" customHeight="1">
      <c r="A99" s="9"/>
      <c r="B99" s="28" t="s">
        <v>184</v>
      </c>
      <c r="C99" s="33" t="s">
        <v>44</v>
      </c>
      <c r="D99" s="36" t="s">
        <v>46</v>
      </c>
      <c r="E99" s="36">
        <v>5.0</v>
      </c>
      <c r="F99" s="36">
        <v>40.0</v>
      </c>
      <c r="G99" s="49" t="s">
        <v>49</v>
      </c>
      <c r="H99" s="11"/>
      <c r="I99" s="11"/>
      <c r="J99" s="11"/>
      <c r="K99" s="11"/>
      <c r="L99" s="11"/>
      <c r="M99" s="11"/>
      <c r="N99" s="9"/>
      <c r="O99" s="9"/>
      <c r="P99" s="9"/>
    </row>
    <row r="100" ht="13.5" customHeight="1">
      <c r="A100" s="9"/>
      <c r="B100" s="47"/>
      <c r="C100" s="88"/>
      <c r="D100" s="89"/>
      <c r="E100" s="35"/>
      <c r="F100" s="11"/>
      <c r="G100" s="11"/>
      <c r="H100" s="11"/>
      <c r="I100" s="11"/>
      <c r="J100" s="11"/>
      <c r="K100" s="11"/>
      <c r="L100" s="11"/>
      <c r="M100" s="11"/>
      <c r="N100" s="9"/>
      <c r="O100" s="9"/>
      <c r="P100" s="9"/>
    </row>
    <row r="101" ht="13.5" customHeight="1">
      <c r="A101" s="9"/>
      <c r="B101" s="22" t="s">
        <v>216</v>
      </c>
      <c r="C101" s="23"/>
      <c r="D101" s="84"/>
      <c r="E101" s="29"/>
      <c r="F101" s="11"/>
      <c r="G101" s="11"/>
      <c r="H101" s="11"/>
      <c r="I101" s="11"/>
      <c r="J101" s="11"/>
      <c r="K101" s="11"/>
      <c r="L101" s="11"/>
      <c r="M101" s="11"/>
      <c r="N101" s="9"/>
      <c r="O101" s="9"/>
      <c r="P101" s="9"/>
    </row>
    <row r="102" ht="13.5" customHeight="1">
      <c r="A102" s="9"/>
      <c r="B102" s="28" t="s">
        <v>168</v>
      </c>
      <c r="C102" s="38" t="s">
        <v>195</v>
      </c>
      <c r="D102" s="36" t="s">
        <v>46</v>
      </c>
      <c r="E102" s="36">
        <v>5.0</v>
      </c>
      <c r="F102" s="36">
        <v>40.0</v>
      </c>
      <c r="G102" s="49" t="s">
        <v>49</v>
      </c>
      <c r="H102" s="11"/>
      <c r="I102" s="11"/>
      <c r="J102" s="11"/>
      <c r="K102" s="11"/>
      <c r="L102" s="11"/>
      <c r="M102" s="11"/>
      <c r="N102" s="9"/>
      <c r="O102" s="9"/>
      <c r="P102" s="9"/>
    </row>
    <row r="103" ht="13.5" customHeight="1">
      <c r="A103" s="9"/>
      <c r="B103" s="28" t="s">
        <v>173</v>
      </c>
      <c r="C103" s="31" t="s">
        <v>202</v>
      </c>
      <c r="D103" s="34" t="s">
        <v>15</v>
      </c>
      <c r="E103" s="36">
        <v>5.0</v>
      </c>
      <c r="F103" s="36">
        <v>40.0</v>
      </c>
      <c r="G103" s="11"/>
      <c r="H103" s="11"/>
      <c r="I103" s="11"/>
      <c r="J103" s="11"/>
      <c r="K103" s="11"/>
      <c r="L103" s="11"/>
      <c r="M103" s="11"/>
      <c r="N103" s="9"/>
      <c r="O103" s="9"/>
      <c r="P103" s="9"/>
    </row>
    <row r="104" ht="13.5" customHeight="1">
      <c r="A104" s="9"/>
      <c r="B104" s="28" t="s">
        <v>179</v>
      </c>
      <c r="C104" s="57" t="s">
        <v>81</v>
      </c>
      <c r="D104" s="34" t="s">
        <v>23</v>
      </c>
      <c r="E104" s="36">
        <v>5.0</v>
      </c>
      <c r="F104" s="36">
        <v>40.0</v>
      </c>
      <c r="G104" s="11"/>
      <c r="H104" s="11"/>
      <c r="I104" s="11"/>
      <c r="J104" s="11"/>
      <c r="K104" s="11"/>
      <c r="L104" s="11"/>
      <c r="M104" s="11"/>
      <c r="N104" s="9"/>
      <c r="O104" s="9"/>
      <c r="P104" s="9"/>
    </row>
    <row r="105" ht="13.5" customHeight="1">
      <c r="A105" s="9"/>
      <c r="B105" s="28" t="s">
        <v>181</v>
      </c>
      <c r="C105" s="38" t="s">
        <v>182</v>
      </c>
      <c r="D105" s="34" t="s">
        <v>46</v>
      </c>
      <c r="E105" s="36">
        <v>5.0</v>
      </c>
      <c r="F105" s="36">
        <v>40.0</v>
      </c>
      <c r="G105" s="11"/>
      <c r="H105" s="11"/>
      <c r="I105" s="11"/>
      <c r="J105" s="11"/>
      <c r="K105" s="11"/>
      <c r="L105" s="11"/>
      <c r="M105" s="11"/>
      <c r="N105" s="9"/>
      <c r="O105" s="9"/>
      <c r="P105" s="9"/>
    </row>
    <row r="106" ht="13.5" customHeight="1">
      <c r="A106" s="9"/>
      <c r="B106" s="28" t="s">
        <v>184</v>
      </c>
      <c r="C106" s="70" t="s">
        <v>129</v>
      </c>
      <c r="D106" s="36" t="s">
        <v>46</v>
      </c>
      <c r="E106" s="36">
        <v>5.0</v>
      </c>
      <c r="F106" s="36">
        <v>40.0</v>
      </c>
      <c r="G106" s="49" t="s">
        <v>49</v>
      </c>
      <c r="H106" s="11"/>
      <c r="I106" s="11"/>
      <c r="J106" s="11"/>
      <c r="K106" s="11"/>
      <c r="L106" s="11"/>
      <c r="M106" s="11"/>
      <c r="N106" s="9"/>
      <c r="O106" s="9"/>
      <c r="P106" s="9"/>
    </row>
    <row r="107" ht="13.5" customHeight="1">
      <c r="A107" s="9"/>
      <c r="B107" s="78"/>
      <c r="C107" s="53"/>
      <c r="D107" s="91"/>
      <c r="E107" s="9"/>
      <c r="F107" s="11"/>
      <c r="G107" s="11"/>
      <c r="H107" s="11"/>
      <c r="I107" s="11"/>
      <c r="J107" s="11"/>
      <c r="K107" s="11"/>
      <c r="L107" s="11"/>
      <c r="M107" s="11"/>
      <c r="N107" s="9"/>
      <c r="O107" s="9"/>
      <c r="P107" s="9"/>
    </row>
    <row r="108" ht="13.5" customHeight="1">
      <c r="A108" s="9"/>
      <c r="B108" s="22" t="s">
        <v>223</v>
      </c>
      <c r="C108" s="23"/>
      <c r="D108" s="84"/>
      <c r="E108" s="29"/>
      <c r="F108" s="11"/>
      <c r="G108" s="11"/>
      <c r="H108" s="11"/>
      <c r="I108" s="11"/>
      <c r="J108" s="11"/>
      <c r="K108" s="11"/>
      <c r="L108" s="11"/>
      <c r="M108" s="11"/>
      <c r="N108" s="9"/>
      <c r="O108" s="9"/>
      <c r="P108" s="9"/>
    </row>
    <row r="109" ht="13.5" customHeight="1">
      <c r="A109" s="9"/>
      <c r="B109" s="28" t="s">
        <v>168</v>
      </c>
      <c r="C109" s="1" t="s">
        <v>225</v>
      </c>
      <c r="D109" s="36" t="s">
        <v>46</v>
      </c>
      <c r="E109" s="36">
        <v>5.0</v>
      </c>
      <c r="F109" s="36">
        <v>40.0</v>
      </c>
      <c r="G109" s="49" t="s">
        <v>49</v>
      </c>
      <c r="H109" s="11"/>
      <c r="I109" s="11"/>
      <c r="J109" s="11"/>
      <c r="K109" s="11"/>
      <c r="L109" s="11"/>
      <c r="M109" s="11"/>
      <c r="N109" s="9"/>
      <c r="O109" s="9"/>
      <c r="P109" s="9"/>
    </row>
    <row r="110" ht="13.5" customHeight="1">
      <c r="A110" s="9"/>
      <c r="B110" s="28" t="s">
        <v>173</v>
      </c>
      <c r="C110" s="31" t="s">
        <v>202</v>
      </c>
      <c r="D110" s="34" t="s">
        <v>15</v>
      </c>
      <c r="E110" s="36">
        <v>5.0</v>
      </c>
      <c r="F110" s="36">
        <v>40.0</v>
      </c>
      <c r="G110" s="11"/>
      <c r="H110" s="11"/>
      <c r="I110" s="11"/>
      <c r="J110" s="11"/>
      <c r="K110" s="11"/>
      <c r="L110" s="11"/>
      <c r="M110" s="11"/>
      <c r="N110" s="9"/>
      <c r="O110" s="9"/>
      <c r="P110" s="9"/>
    </row>
    <row r="111" ht="13.5" customHeight="1">
      <c r="A111" s="9"/>
      <c r="B111" s="28" t="s">
        <v>179</v>
      </c>
      <c r="C111" s="38" t="s">
        <v>226</v>
      </c>
      <c r="D111" s="34" t="s">
        <v>23</v>
      </c>
      <c r="E111" s="36">
        <v>5.0</v>
      </c>
      <c r="F111" s="36">
        <v>40.0</v>
      </c>
      <c r="G111" s="11"/>
      <c r="H111" s="11"/>
      <c r="I111" s="11"/>
      <c r="J111" s="11"/>
      <c r="K111" s="11"/>
      <c r="L111" s="11"/>
      <c r="M111" s="11"/>
      <c r="N111" s="9"/>
      <c r="O111" s="9"/>
      <c r="P111" s="9"/>
    </row>
    <row r="112" ht="13.5" customHeight="1">
      <c r="A112" s="9"/>
      <c r="B112" s="28" t="s">
        <v>181</v>
      </c>
      <c r="C112" s="41" t="s">
        <v>205</v>
      </c>
      <c r="D112" s="34" t="s">
        <v>46</v>
      </c>
      <c r="E112" s="36">
        <v>5.0</v>
      </c>
      <c r="F112" s="36">
        <v>40.0</v>
      </c>
      <c r="G112" s="11"/>
      <c r="H112" s="11"/>
      <c r="I112" s="11"/>
      <c r="J112" s="11"/>
      <c r="K112" s="11"/>
      <c r="L112" s="11"/>
      <c r="M112" s="11"/>
      <c r="N112" s="9"/>
      <c r="O112" s="9"/>
      <c r="P112" s="9"/>
    </row>
    <row r="113" ht="13.5" customHeight="1">
      <c r="A113" s="9"/>
      <c r="B113" s="28" t="s">
        <v>184</v>
      </c>
      <c r="C113" s="70" t="s">
        <v>129</v>
      </c>
      <c r="D113" s="36" t="s">
        <v>46</v>
      </c>
      <c r="E113" s="36">
        <v>5.0</v>
      </c>
      <c r="F113" s="36">
        <v>40.0</v>
      </c>
      <c r="G113" s="49" t="s">
        <v>49</v>
      </c>
      <c r="H113" s="11"/>
      <c r="I113" s="11"/>
      <c r="J113" s="11"/>
      <c r="K113" s="11"/>
      <c r="L113" s="11"/>
      <c r="M113" s="11"/>
      <c r="N113" s="9"/>
      <c r="O113" s="9"/>
      <c r="P113" s="9"/>
    </row>
    <row r="114" ht="13.5" customHeight="1">
      <c r="A114" s="9"/>
      <c r="B114" s="78"/>
      <c r="C114" s="53"/>
      <c r="D114" s="91"/>
      <c r="E114" s="9"/>
      <c r="F114" s="11"/>
      <c r="G114" s="52"/>
      <c r="H114" s="11"/>
      <c r="I114" s="11"/>
      <c r="J114" s="11"/>
      <c r="K114" s="11"/>
      <c r="L114" s="11"/>
      <c r="M114" s="11"/>
      <c r="N114" s="9"/>
      <c r="O114" s="9"/>
      <c r="P114" s="9"/>
    </row>
    <row r="115" ht="13.5" customHeight="1">
      <c r="A115" s="9"/>
      <c r="B115" s="79" t="s">
        <v>227</v>
      </c>
      <c r="C115" s="23"/>
      <c r="D115" s="84"/>
      <c r="E115" s="29"/>
      <c r="F115" s="11"/>
      <c r="G115" s="11"/>
      <c r="H115" s="11"/>
      <c r="I115" s="11"/>
      <c r="J115" s="11"/>
      <c r="K115" s="11"/>
      <c r="L115" s="11"/>
      <c r="M115" s="11"/>
      <c r="N115" s="9"/>
      <c r="O115" s="9"/>
      <c r="P115" s="9"/>
    </row>
    <row r="116" ht="13.5" customHeight="1">
      <c r="A116" s="9"/>
      <c r="B116" s="28" t="s">
        <v>168</v>
      </c>
      <c r="C116" s="41" t="s">
        <v>205</v>
      </c>
      <c r="D116" s="34" t="s">
        <v>46</v>
      </c>
      <c r="E116" s="36">
        <v>5.0</v>
      </c>
      <c r="F116" s="36">
        <v>40.0</v>
      </c>
      <c r="G116" s="49" t="s">
        <v>49</v>
      </c>
      <c r="H116" s="11"/>
      <c r="I116" s="11"/>
      <c r="J116" s="11"/>
      <c r="K116" s="11"/>
      <c r="L116" s="11"/>
      <c r="M116" s="11"/>
      <c r="N116" s="9"/>
      <c r="O116" s="9"/>
      <c r="P116" s="9"/>
    </row>
    <row r="117" ht="13.5" customHeight="1">
      <c r="A117" s="9"/>
      <c r="B117" s="28" t="s">
        <v>173</v>
      </c>
      <c r="C117" s="31" t="s">
        <v>202</v>
      </c>
      <c r="D117" s="34" t="s">
        <v>15</v>
      </c>
      <c r="E117" s="36">
        <v>5.0</v>
      </c>
      <c r="F117" s="36">
        <v>40.0</v>
      </c>
      <c r="G117" s="11"/>
      <c r="H117" s="11"/>
      <c r="I117" s="11"/>
      <c r="J117" s="11"/>
      <c r="K117" s="11"/>
      <c r="L117" s="11"/>
      <c r="M117" s="11"/>
      <c r="N117" s="9"/>
      <c r="O117" s="9"/>
      <c r="P117" s="9"/>
    </row>
    <row r="118" ht="13.5" customHeight="1">
      <c r="A118" s="9"/>
      <c r="B118" s="28" t="s">
        <v>179</v>
      </c>
      <c r="C118" s="38" t="s">
        <v>226</v>
      </c>
      <c r="D118" s="36"/>
      <c r="E118" s="36">
        <v>5.0</v>
      </c>
      <c r="F118" s="36">
        <v>40.0</v>
      </c>
      <c r="G118" s="52"/>
      <c r="H118" s="11"/>
      <c r="I118" s="11"/>
      <c r="J118" s="11"/>
      <c r="K118" s="11"/>
      <c r="L118" s="11"/>
      <c r="M118" s="11"/>
      <c r="N118" s="9"/>
      <c r="O118" s="9"/>
      <c r="P118" s="9"/>
    </row>
    <row r="119" ht="13.5" customHeight="1">
      <c r="A119" s="9"/>
      <c r="B119" s="28" t="s">
        <v>181</v>
      </c>
      <c r="C119" s="38" t="s">
        <v>198</v>
      </c>
      <c r="D119" s="36"/>
      <c r="E119" s="36">
        <v>5.0</v>
      </c>
      <c r="F119" s="36">
        <v>40.0</v>
      </c>
      <c r="G119" s="11"/>
      <c r="H119" s="11"/>
      <c r="I119" s="11"/>
      <c r="J119" s="11"/>
      <c r="K119" s="11"/>
      <c r="L119" s="11"/>
      <c r="M119" s="11"/>
      <c r="N119" s="9"/>
      <c r="O119" s="9"/>
      <c r="P119" s="9"/>
    </row>
    <row r="120" ht="13.5" customHeight="1">
      <c r="A120" s="9"/>
      <c r="B120" s="28" t="s">
        <v>184</v>
      </c>
      <c r="C120" s="1" t="s">
        <v>190</v>
      </c>
      <c r="D120" s="36" t="s">
        <v>46</v>
      </c>
      <c r="E120" s="36">
        <v>5.0</v>
      </c>
      <c r="F120" s="36">
        <v>40.0</v>
      </c>
      <c r="G120" s="49" t="s">
        <v>49</v>
      </c>
      <c r="H120" s="11"/>
      <c r="I120" s="11"/>
      <c r="J120" s="11"/>
      <c r="K120" s="11"/>
      <c r="L120" s="11"/>
      <c r="M120" s="11"/>
      <c r="N120" s="9"/>
      <c r="O120" s="9"/>
      <c r="P120" s="9"/>
    </row>
    <row r="121" ht="13.5" customHeight="1">
      <c r="A121" s="9"/>
      <c r="B121" s="28"/>
      <c r="C121" s="70"/>
      <c r="D121" s="36"/>
      <c r="E121" s="36"/>
      <c r="F121" s="36"/>
      <c r="G121" s="11"/>
      <c r="H121" s="11"/>
      <c r="I121" s="11"/>
      <c r="J121" s="11"/>
      <c r="K121" s="11"/>
      <c r="L121" s="11"/>
      <c r="M121" s="11"/>
      <c r="N121" s="9"/>
      <c r="O121" s="9"/>
      <c r="P121" s="9"/>
    </row>
    <row r="122" ht="13.5" customHeight="1">
      <c r="A122" s="9"/>
      <c r="B122" s="22" t="s">
        <v>235</v>
      </c>
      <c r="C122" s="23"/>
      <c r="D122" s="84"/>
      <c r="E122" s="23"/>
      <c r="F122" s="23"/>
      <c r="G122" s="11"/>
      <c r="H122" s="11"/>
      <c r="I122" s="11"/>
      <c r="J122" s="11"/>
      <c r="K122" s="11"/>
      <c r="L122" s="11"/>
      <c r="M122" s="11"/>
      <c r="N122" s="9"/>
      <c r="O122" s="9"/>
      <c r="P122" s="9"/>
    </row>
    <row r="123" ht="13.5" customHeight="1">
      <c r="A123" s="9"/>
      <c r="B123" s="28" t="s">
        <v>237</v>
      </c>
      <c r="C123" s="70" t="s">
        <v>112</v>
      </c>
      <c r="D123" s="36" t="s">
        <v>46</v>
      </c>
      <c r="E123" s="36">
        <v>5.0</v>
      </c>
      <c r="F123" s="36">
        <v>31.0</v>
      </c>
      <c r="G123" s="11"/>
      <c r="H123" s="11"/>
      <c r="I123" s="11"/>
      <c r="J123" s="11"/>
      <c r="K123" s="11"/>
      <c r="L123" s="11"/>
      <c r="M123" s="11"/>
      <c r="N123" s="9"/>
      <c r="O123" s="9"/>
      <c r="P123" s="9"/>
    </row>
    <row r="124" ht="13.5" customHeight="1">
      <c r="A124" s="9"/>
      <c r="B124" s="28" t="s">
        <v>238</v>
      </c>
      <c r="C124" s="33" t="s">
        <v>240</v>
      </c>
      <c r="D124" s="36" t="s">
        <v>46</v>
      </c>
      <c r="E124" s="36">
        <v>6.0</v>
      </c>
      <c r="F124" s="36">
        <v>31.0</v>
      </c>
      <c r="G124" s="11"/>
      <c r="H124" s="11"/>
      <c r="I124" s="11"/>
      <c r="J124" s="11"/>
      <c r="K124" s="11"/>
      <c r="L124" s="11"/>
      <c r="M124" s="11"/>
      <c r="N124" s="9"/>
      <c r="O124" s="9"/>
      <c r="P124" s="9"/>
    </row>
    <row r="125" ht="13.5" customHeight="1">
      <c r="A125" s="9"/>
      <c r="B125" s="28" t="s">
        <v>242</v>
      </c>
      <c r="C125" s="31" t="s">
        <v>77</v>
      </c>
      <c r="D125" s="34" t="s">
        <v>15</v>
      </c>
      <c r="E125" s="36">
        <v>5.0</v>
      </c>
      <c r="F125" s="36">
        <v>31.0</v>
      </c>
      <c r="G125" s="11"/>
      <c r="H125" s="11"/>
      <c r="I125" s="11"/>
      <c r="J125" s="11"/>
      <c r="K125" s="11"/>
      <c r="L125" s="11"/>
      <c r="M125" s="11"/>
      <c r="N125" s="9"/>
      <c r="O125" s="9"/>
      <c r="P125" s="9"/>
    </row>
    <row r="126" ht="13.5" customHeight="1">
      <c r="A126" s="9"/>
      <c r="B126" s="28" t="s">
        <v>243</v>
      </c>
      <c r="C126" s="1" t="s">
        <v>170</v>
      </c>
      <c r="D126" s="36" t="s">
        <v>46</v>
      </c>
      <c r="E126" s="36">
        <v>5.0</v>
      </c>
      <c r="F126" s="36">
        <v>31.0</v>
      </c>
      <c r="G126" s="49" t="s">
        <v>49</v>
      </c>
      <c r="H126" s="11"/>
      <c r="I126" s="11"/>
      <c r="J126" s="11"/>
      <c r="K126" s="11"/>
      <c r="L126" s="11"/>
      <c r="M126" s="11"/>
      <c r="N126" s="9"/>
      <c r="O126" s="9"/>
      <c r="P126" s="9"/>
    </row>
    <row r="127" ht="13.5" customHeight="1">
      <c r="A127" s="9"/>
      <c r="B127" s="28" t="s">
        <v>244</v>
      </c>
      <c r="C127" s="66"/>
      <c r="D127" s="36"/>
      <c r="E127" s="36">
        <v>4.0</v>
      </c>
      <c r="F127" s="36">
        <v>31.0</v>
      </c>
      <c r="G127" s="11"/>
      <c r="H127" s="11"/>
      <c r="I127" s="11"/>
      <c r="J127" s="11"/>
      <c r="K127" s="11"/>
      <c r="L127" s="11"/>
      <c r="M127" s="11"/>
      <c r="N127" s="9"/>
      <c r="O127" s="9"/>
      <c r="P127" s="9"/>
    </row>
    <row r="128" ht="13.5" customHeight="1">
      <c r="A128" s="9"/>
      <c r="B128" s="47"/>
      <c r="C128" s="53"/>
      <c r="D128" s="8"/>
      <c r="E128" s="35"/>
      <c r="F128" s="11"/>
      <c r="G128" s="11"/>
      <c r="H128" s="11"/>
      <c r="I128" s="11"/>
      <c r="J128" s="11"/>
      <c r="K128" s="11"/>
      <c r="L128" s="11"/>
      <c r="M128" s="11"/>
      <c r="N128" s="9"/>
      <c r="O128" s="9"/>
      <c r="P128" s="9"/>
    </row>
    <row r="129" ht="13.5" customHeight="1">
      <c r="A129" s="9"/>
      <c r="B129" s="22" t="s">
        <v>245</v>
      </c>
      <c r="C129" s="54"/>
      <c r="D129" s="84"/>
      <c r="E129" s="29"/>
      <c r="F129" s="11"/>
      <c r="G129" s="11"/>
      <c r="H129" s="11"/>
      <c r="I129" s="11"/>
      <c r="J129" s="11"/>
      <c r="K129" s="11"/>
      <c r="L129" s="11"/>
      <c r="M129" s="11"/>
      <c r="N129" s="9"/>
      <c r="O129" s="9"/>
      <c r="P129" s="9"/>
    </row>
    <row r="130" ht="13.5" customHeight="1">
      <c r="A130" s="9"/>
      <c r="B130" s="28" t="s">
        <v>237</v>
      </c>
      <c r="C130" s="70" t="s">
        <v>121</v>
      </c>
      <c r="D130" s="36" t="s">
        <v>46</v>
      </c>
      <c r="E130" s="36">
        <v>5.0</v>
      </c>
      <c r="F130" s="36">
        <v>31.0</v>
      </c>
      <c r="G130" s="11"/>
      <c r="H130" s="11"/>
      <c r="I130" s="11"/>
      <c r="J130" s="11"/>
      <c r="K130" s="11"/>
      <c r="L130" s="11"/>
      <c r="M130" s="11"/>
      <c r="N130" s="9"/>
      <c r="O130" s="9"/>
      <c r="P130" s="9"/>
    </row>
    <row r="131" ht="13.5" customHeight="1">
      <c r="A131" s="9"/>
      <c r="B131" s="28" t="s">
        <v>238</v>
      </c>
      <c r="C131" s="33" t="s">
        <v>240</v>
      </c>
      <c r="D131" s="36" t="s">
        <v>46</v>
      </c>
      <c r="E131" s="36">
        <v>6.0</v>
      </c>
      <c r="F131" s="36">
        <v>31.0</v>
      </c>
      <c r="G131" s="11"/>
      <c r="H131" s="11"/>
      <c r="I131" s="11"/>
      <c r="J131" s="11"/>
      <c r="K131" s="11"/>
      <c r="L131" s="11"/>
      <c r="M131" s="11"/>
      <c r="N131" s="9"/>
      <c r="O131" s="9"/>
      <c r="P131" s="9"/>
    </row>
    <row r="132" ht="13.5" customHeight="1">
      <c r="A132" s="9"/>
      <c r="B132" s="28" t="s">
        <v>242</v>
      </c>
      <c r="C132" s="31" t="s">
        <v>77</v>
      </c>
      <c r="D132" s="34" t="s">
        <v>15</v>
      </c>
      <c r="E132" s="36">
        <v>5.0</v>
      </c>
      <c r="F132" s="36">
        <v>31.0</v>
      </c>
      <c r="G132" s="11"/>
      <c r="H132" s="11"/>
      <c r="I132" s="11"/>
      <c r="J132" s="11"/>
      <c r="K132" s="11"/>
      <c r="L132" s="11"/>
      <c r="M132" s="11"/>
      <c r="N132" s="9"/>
      <c r="O132" s="9"/>
      <c r="P132" s="9"/>
    </row>
    <row r="133" ht="13.5" customHeight="1">
      <c r="A133" s="9"/>
      <c r="B133" s="28" t="s">
        <v>243</v>
      </c>
      <c r="C133" s="70" t="s">
        <v>253</v>
      </c>
      <c r="D133" s="36" t="s">
        <v>46</v>
      </c>
      <c r="E133" s="36">
        <v>5.0</v>
      </c>
      <c r="F133" s="36">
        <v>31.0</v>
      </c>
      <c r="G133" s="49" t="s">
        <v>49</v>
      </c>
      <c r="H133" s="11"/>
      <c r="I133" s="11"/>
      <c r="J133" s="11"/>
      <c r="K133" s="11"/>
      <c r="L133" s="11"/>
      <c r="M133" s="11"/>
      <c r="N133" s="9"/>
      <c r="O133" s="9"/>
      <c r="P133" s="9"/>
    </row>
    <row r="134" ht="13.5" customHeight="1">
      <c r="A134" s="9"/>
      <c r="B134" s="28" t="s">
        <v>244</v>
      </c>
      <c r="C134" s="66"/>
      <c r="D134" s="36"/>
      <c r="E134" s="36">
        <v>4.0</v>
      </c>
      <c r="F134" s="36">
        <v>31.0</v>
      </c>
      <c r="G134" s="11"/>
      <c r="H134" s="11"/>
      <c r="I134" s="11"/>
      <c r="J134" s="11"/>
      <c r="K134" s="11"/>
      <c r="L134" s="11"/>
      <c r="M134" s="11"/>
      <c r="N134" s="9"/>
      <c r="O134" s="9"/>
      <c r="P134" s="9"/>
    </row>
    <row r="135" ht="13.5" customHeight="1">
      <c r="A135" s="9"/>
      <c r="B135" s="9"/>
      <c r="C135" s="53"/>
      <c r="D135" s="8"/>
      <c r="E135" s="35"/>
      <c r="F135" s="11"/>
      <c r="G135" s="11"/>
      <c r="H135" s="11"/>
      <c r="I135" s="11"/>
      <c r="J135" s="11"/>
      <c r="K135" s="11"/>
      <c r="L135" s="11"/>
      <c r="M135" s="11"/>
      <c r="N135" s="9"/>
      <c r="O135" s="9"/>
      <c r="P135" s="9"/>
    </row>
    <row r="136" ht="13.5" customHeight="1">
      <c r="A136" s="9"/>
      <c r="B136" s="22" t="s">
        <v>257</v>
      </c>
      <c r="C136" s="54"/>
      <c r="D136" s="84"/>
      <c r="E136" s="29"/>
      <c r="F136" s="11"/>
      <c r="G136" s="11"/>
      <c r="H136" s="11"/>
      <c r="I136" s="11"/>
      <c r="J136" s="11"/>
      <c r="K136" s="11"/>
      <c r="L136" s="11"/>
      <c r="M136" s="11"/>
      <c r="N136" s="9"/>
      <c r="O136" s="9"/>
      <c r="P136" s="9"/>
    </row>
    <row r="137" ht="13.5" customHeight="1">
      <c r="A137" s="9"/>
      <c r="B137" s="28" t="s">
        <v>237</v>
      </c>
      <c r="C137" s="70" t="s">
        <v>121</v>
      </c>
      <c r="D137" s="36" t="s">
        <v>46</v>
      </c>
      <c r="E137" s="36">
        <v>5.0</v>
      </c>
      <c r="F137" s="36">
        <v>31.0</v>
      </c>
      <c r="G137" s="11"/>
      <c r="H137" s="11"/>
      <c r="I137" s="11"/>
      <c r="J137" s="11"/>
      <c r="K137" s="11"/>
      <c r="L137" s="11"/>
      <c r="M137" s="11"/>
      <c r="N137" s="9"/>
      <c r="O137" s="9"/>
      <c r="P137" s="9"/>
    </row>
    <row r="138" ht="13.5" customHeight="1">
      <c r="A138" s="9"/>
      <c r="B138" s="28" t="s">
        <v>238</v>
      </c>
      <c r="C138" s="33" t="s">
        <v>259</v>
      </c>
      <c r="D138" s="36" t="s">
        <v>46</v>
      </c>
      <c r="E138" s="36">
        <v>6.0</v>
      </c>
      <c r="F138" s="36">
        <v>31.0</v>
      </c>
      <c r="G138" s="11"/>
      <c r="H138" s="11"/>
      <c r="I138" s="11"/>
      <c r="J138" s="11"/>
      <c r="K138" s="11"/>
      <c r="L138" s="11"/>
      <c r="M138" s="11"/>
      <c r="N138" s="9"/>
      <c r="O138" s="9"/>
      <c r="P138" s="9"/>
    </row>
    <row r="139" ht="13.5" customHeight="1">
      <c r="A139" s="9"/>
      <c r="B139" s="28" t="s">
        <v>242</v>
      </c>
      <c r="C139" s="31" t="s">
        <v>77</v>
      </c>
      <c r="D139" s="34" t="s">
        <v>15</v>
      </c>
      <c r="E139" s="36">
        <v>5.0</v>
      </c>
      <c r="F139" s="36">
        <v>31.0</v>
      </c>
      <c r="G139" s="11"/>
      <c r="H139" s="11"/>
      <c r="I139" s="11"/>
      <c r="J139" s="11"/>
      <c r="K139" s="11"/>
      <c r="L139" s="11"/>
      <c r="M139" s="11"/>
      <c r="N139" s="9"/>
      <c r="O139" s="9"/>
      <c r="P139" s="9"/>
    </row>
    <row r="140" ht="13.5" customHeight="1">
      <c r="A140" s="9"/>
      <c r="B140" s="28" t="s">
        <v>243</v>
      </c>
      <c r="C140" s="1" t="s">
        <v>170</v>
      </c>
      <c r="D140" s="36" t="s">
        <v>46</v>
      </c>
      <c r="E140" s="36">
        <v>5.0</v>
      </c>
      <c r="F140" s="36">
        <v>31.0</v>
      </c>
      <c r="G140" s="49" t="s">
        <v>49</v>
      </c>
      <c r="H140" s="11"/>
      <c r="I140" s="11"/>
      <c r="J140" s="11"/>
      <c r="K140" s="11"/>
      <c r="L140" s="11"/>
      <c r="M140" s="11"/>
      <c r="N140" s="9"/>
      <c r="O140" s="9"/>
      <c r="P140" s="9"/>
    </row>
    <row r="141" ht="13.5" customHeight="1">
      <c r="A141" s="9"/>
      <c r="B141" s="28" t="s">
        <v>244</v>
      </c>
      <c r="C141" s="66"/>
      <c r="D141" s="36"/>
      <c r="E141" s="36">
        <v>4.0</v>
      </c>
      <c r="F141" s="36">
        <v>31.0</v>
      </c>
      <c r="G141" s="11"/>
      <c r="H141" s="11"/>
      <c r="I141" s="11"/>
      <c r="J141" s="11"/>
      <c r="K141" s="11"/>
      <c r="L141" s="11"/>
      <c r="M141" s="11"/>
      <c r="N141" s="9"/>
      <c r="O141" s="9"/>
      <c r="P141" s="9"/>
    </row>
    <row r="142" ht="13.5" customHeight="1">
      <c r="A142" s="7"/>
      <c r="C142" s="99"/>
      <c r="D142" s="8"/>
    </row>
    <row r="143" ht="13.5" customHeight="1">
      <c r="A143" s="7"/>
      <c r="B143" s="22" t="s">
        <v>263</v>
      </c>
      <c r="C143" s="101"/>
      <c r="D143" s="84"/>
      <c r="E143" s="29"/>
    </row>
    <row r="144" ht="13.5" customHeight="1">
      <c r="A144" s="7"/>
      <c r="B144" s="28" t="s">
        <v>237</v>
      </c>
      <c r="C144" s="70" t="s">
        <v>112</v>
      </c>
      <c r="D144" s="36" t="s">
        <v>46</v>
      </c>
      <c r="E144" s="36">
        <v>5.0</v>
      </c>
      <c r="F144" s="36">
        <v>31.0</v>
      </c>
    </row>
    <row r="145" ht="13.5" customHeight="1">
      <c r="A145" s="7"/>
      <c r="B145" s="28" t="s">
        <v>238</v>
      </c>
      <c r="C145" s="33" t="s">
        <v>259</v>
      </c>
      <c r="D145" s="36" t="s">
        <v>46</v>
      </c>
      <c r="E145" s="36">
        <v>6.0</v>
      </c>
      <c r="F145" s="36">
        <v>31.0</v>
      </c>
    </row>
    <row r="146" ht="13.5" customHeight="1">
      <c r="A146" s="7"/>
      <c r="B146" s="28" t="s">
        <v>242</v>
      </c>
      <c r="C146" s="31" t="s">
        <v>77</v>
      </c>
      <c r="D146" s="34" t="s">
        <v>15</v>
      </c>
      <c r="E146" s="36">
        <v>5.0</v>
      </c>
      <c r="F146" s="36">
        <v>31.0</v>
      </c>
    </row>
    <row r="147" ht="13.5" customHeight="1">
      <c r="A147" s="7"/>
      <c r="B147" s="28" t="s">
        <v>243</v>
      </c>
      <c r="C147" s="70" t="s">
        <v>253</v>
      </c>
      <c r="D147" s="36" t="s">
        <v>46</v>
      </c>
      <c r="E147" s="36">
        <v>5.0</v>
      </c>
      <c r="F147" s="36">
        <v>31.0</v>
      </c>
      <c r="G147" s="49" t="s">
        <v>49</v>
      </c>
    </row>
    <row r="148" ht="13.5" customHeight="1">
      <c r="A148" s="9"/>
      <c r="B148" s="28" t="s">
        <v>244</v>
      </c>
      <c r="C148" s="66"/>
      <c r="D148" s="36"/>
      <c r="E148" s="36">
        <v>4.0</v>
      </c>
      <c r="F148" s="36">
        <v>31.0</v>
      </c>
      <c r="G148" s="11"/>
      <c r="H148" s="11"/>
      <c r="I148" s="11"/>
      <c r="J148" s="11"/>
      <c r="K148" s="11"/>
      <c r="L148" s="11"/>
      <c r="M148" s="11"/>
      <c r="N148" s="9"/>
      <c r="O148" s="9"/>
      <c r="P148" s="9"/>
    </row>
    <row r="149" ht="13.5" customHeight="1">
      <c r="A149" s="9"/>
      <c r="B149" s="9"/>
      <c r="C149" s="53"/>
      <c r="D149" s="8"/>
      <c r="E149" s="35"/>
      <c r="F149" s="11"/>
      <c r="G149" s="11"/>
      <c r="H149" s="11"/>
      <c r="I149" s="11"/>
      <c r="J149" s="11"/>
      <c r="K149" s="11"/>
      <c r="L149" s="11"/>
      <c r="M149" s="11"/>
      <c r="N149" s="9"/>
      <c r="O149" s="9"/>
      <c r="P149" s="9"/>
    </row>
    <row r="150" ht="13.5" customHeight="1">
      <c r="A150" s="9"/>
      <c r="B150" s="22" t="s">
        <v>268</v>
      </c>
      <c r="C150" s="54"/>
      <c r="D150" s="84"/>
      <c r="E150" s="29"/>
      <c r="F150" s="11"/>
      <c r="G150" s="11"/>
      <c r="H150" s="11"/>
      <c r="I150" s="11"/>
      <c r="J150" s="11"/>
      <c r="K150" s="11"/>
      <c r="L150" s="11"/>
      <c r="M150" s="11"/>
      <c r="N150" s="9"/>
      <c r="O150" s="9"/>
      <c r="P150" s="9"/>
    </row>
    <row r="151" ht="13.5" customHeight="1">
      <c r="A151" s="9"/>
      <c r="B151" s="28" t="s">
        <v>271</v>
      </c>
      <c r="C151" s="1" t="s">
        <v>225</v>
      </c>
      <c r="D151" s="36" t="s">
        <v>46</v>
      </c>
      <c r="E151" s="36">
        <v>5.0</v>
      </c>
      <c r="F151" s="36">
        <v>32.0</v>
      </c>
      <c r="G151" s="49" t="s">
        <v>49</v>
      </c>
      <c r="H151" s="11"/>
      <c r="I151" s="11"/>
      <c r="J151" s="11"/>
      <c r="K151" s="11"/>
      <c r="L151" s="11"/>
      <c r="M151" s="11"/>
      <c r="N151" s="9"/>
      <c r="O151" s="9"/>
      <c r="P151" s="9"/>
    </row>
    <row r="152" ht="13.5" customHeight="1">
      <c r="A152" s="9"/>
      <c r="B152" s="28" t="s">
        <v>272</v>
      </c>
      <c r="C152" s="70" t="s">
        <v>253</v>
      </c>
      <c r="D152" s="36" t="s">
        <v>46</v>
      </c>
      <c r="E152" s="36">
        <v>5.0</v>
      </c>
      <c r="F152" s="36">
        <v>32.0</v>
      </c>
      <c r="G152" s="49" t="s">
        <v>49</v>
      </c>
      <c r="H152" s="11"/>
      <c r="I152" s="11"/>
      <c r="J152" s="11"/>
      <c r="K152" s="11"/>
      <c r="L152" s="11"/>
      <c r="M152" s="11"/>
      <c r="N152" s="9"/>
      <c r="O152" s="9"/>
      <c r="P152" s="9"/>
    </row>
    <row r="153" ht="13.5" customHeight="1">
      <c r="A153" s="9"/>
      <c r="B153" s="28" t="s">
        <v>274</v>
      </c>
      <c r="C153" s="33" t="s">
        <v>259</v>
      </c>
      <c r="D153" s="36" t="s">
        <v>46</v>
      </c>
      <c r="E153" s="36">
        <v>5.0</v>
      </c>
      <c r="F153" s="36">
        <v>32.0</v>
      </c>
      <c r="G153" s="11"/>
      <c r="H153" s="11"/>
      <c r="I153" s="11"/>
      <c r="J153" s="11"/>
      <c r="K153" s="11"/>
      <c r="L153" s="11"/>
      <c r="M153" s="11"/>
      <c r="N153" s="9"/>
      <c r="O153" s="9"/>
      <c r="P153" s="9"/>
    </row>
    <row r="154" ht="13.5" customHeight="1">
      <c r="A154" s="9"/>
      <c r="B154" s="28" t="s">
        <v>275</v>
      </c>
      <c r="C154" s="38" t="s">
        <v>276</v>
      </c>
      <c r="D154" s="36" t="s">
        <v>48</v>
      </c>
      <c r="E154" s="36">
        <v>5.0</v>
      </c>
      <c r="F154" s="36">
        <v>32.0</v>
      </c>
      <c r="G154" s="11"/>
      <c r="H154" s="11"/>
      <c r="I154" s="11"/>
      <c r="J154" s="11"/>
      <c r="K154" s="11"/>
      <c r="L154" s="11"/>
      <c r="M154" s="11"/>
      <c r="N154" s="9"/>
      <c r="O154" s="9"/>
      <c r="P154" s="9"/>
    </row>
    <row r="155" ht="13.5" customHeight="1">
      <c r="A155" s="9"/>
      <c r="B155" s="28" t="s">
        <v>277</v>
      </c>
      <c r="C155" s="37" t="s">
        <v>278</v>
      </c>
      <c r="D155" s="34" t="s">
        <v>252</v>
      </c>
      <c r="E155" s="36">
        <v>5.0</v>
      </c>
      <c r="F155" s="36">
        <v>32.0</v>
      </c>
      <c r="G155" s="11"/>
      <c r="H155" s="11"/>
      <c r="I155" s="11"/>
      <c r="J155" s="11"/>
      <c r="K155" s="11"/>
      <c r="L155" s="11"/>
      <c r="M155" s="11"/>
      <c r="N155" s="9"/>
      <c r="O155" s="9"/>
      <c r="P155" s="9"/>
    </row>
    <row r="156" ht="13.5" customHeight="1">
      <c r="A156" s="9"/>
      <c r="B156" s="47"/>
      <c r="C156" s="88"/>
      <c r="E156" s="35"/>
      <c r="F156" s="11"/>
      <c r="G156" s="11"/>
      <c r="H156" s="11"/>
      <c r="I156" s="11"/>
      <c r="J156" s="11"/>
      <c r="K156" s="11"/>
      <c r="L156" s="11"/>
      <c r="M156" s="11"/>
      <c r="N156" s="9"/>
      <c r="O156" s="9"/>
      <c r="P156" s="9"/>
    </row>
    <row r="157" ht="13.5" customHeight="1">
      <c r="A157" s="9"/>
      <c r="B157" s="22" t="s">
        <v>280</v>
      </c>
      <c r="C157" s="54"/>
      <c r="E157" s="29"/>
      <c r="F157" s="11"/>
      <c r="G157" s="11"/>
      <c r="H157" s="11"/>
      <c r="I157" s="11"/>
      <c r="J157" s="11"/>
      <c r="K157" s="11"/>
      <c r="L157" s="11"/>
      <c r="M157" s="11"/>
      <c r="N157" s="9"/>
      <c r="O157" s="9"/>
      <c r="P157" s="9"/>
    </row>
    <row r="158" ht="13.5" customHeight="1">
      <c r="A158" s="9"/>
      <c r="B158" s="28" t="s">
        <v>271</v>
      </c>
      <c r="C158" s="1" t="s">
        <v>281</v>
      </c>
      <c r="D158" s="36" t="s">
        <v>46</v>
      </c>
      <c r="E158" s="36">
        <v>5.0</v>
      </c>
      <c r="F158" s="36">
        <v>32.0</v>
      </c>
      <c r="G158" s="49" t="s">
        <v>49</v>
      </c>
      <c r="H158" s="11"/>
      <c r="I158" s="11"/>
      <c r="J158" s="11"/>
      <c r="K158" s="11"/>
      <c r="L158" s="11"/>
      <c r="M158" s="11"/>
      <c r="N158" s="9"/>
      <c r="O158" s="9"/>
      <c r="P158" s="9"/>
    </row>
    <row r="159" ht="13.5" customHeight="1">
      <c r="A159" s="9"/>
      <c r="B159" s="28" t="s">
        <v>272</v>
      </c>
      <c r="C159" s="70" t="s">
        <v>253</v>
      </c>
      <c r="D159" s="36" t="s">
        <v>46</v>
      </c>
      <c r="E159" s="36">
        <v>5.0</v>
      </c>
      <c r="F159" s="36">
        <v>32.0</v>
      </c>
      <c r="G159" s="49" t="s">
        <v>49</v>
      </c>
      <c r="H159" s="11"/>
      <c r="I159" s="11"/>
      <c r="J159" s="11"/>
      <c r="K159" s="11"/>
      <c r="L159" s="11"/>
      <c r="M159" s="11"/>
      <c r="N159" s="9"/>
      <c r="O159" s="9"/>
      <c r="P159" s="9"/>
    </row>
    <row r="160" ht="13.5" customHeight="1">
      <c r="A160" s="9"/>
      <c r="B160" s="28" t="s">
        <v>274</v>
      </c>
      <c r="C160" s="38" t="s">
        <v>195</v>
      </c>
      <c r="D160" s="36" t="s">
        <v>46</v>
      </c>
      <c r="E160" s="36">
        <v>5.0</v>
      </c>
      <c r="F160" s="36">
        <v>32.0</v>
      </c>
      <c r="G160" s="11"/>
      <c r="H160" s="11"/>
      <c r="I160" s="11"/>
      <c r="J160" s="11"/>
      <c r="K160" s="11"/>
      <c r="L160" s="11"/>
      <c r="M160" s="11"/>
      <c r="N160" s="9"/>
      <c r="O160" s="9"/>
      <c r="P160" s="9"/>
    </row>
    <row r="161" ht="13.5" customHeight="1">
      <c r="A161" s="9"/>
      <c r="B161" s="28" t="s">
        <v>275</v>
      </c>
      <c r="C161" s="38" t="s">
        <v>276</v>
      </c>
      <c r="D161" s="36" t="s">
        <v>48</v>
      </c>
      <c r="E161" s="36">
        <v>5.0</v>
      </c>
      <c r="F161" s="36">
        <v>32.0</v>
      </c>
      <c r="G161" s="11"/>
      <c r="H161" s="11"/>
      <c r="I161" s="11"/>
      <c r="J161" s="11"/>
      <c r="K161" s="11"/>
      <c r="L161" s="11"/>
      <c r="M161" s="11"/>
      <c r="N161" s="9"/>
      <c r="O161" s="9"/>
      <c r="P161" s="9"/>
    </row>
    <row r="162" ht="13.5" customHeight="1">
      <c r="A162" s="9"/>
      <c r="B162" s="28" t="s">
        <v>277</v>
      </c>
      <c r="C162" s="37" t="s">
        <v>278</v>
      </c>
      <c r="D162" s="34" t="s">
        <v>252</v>
      </c>
      <c r="E162" s="36">
        <v>5.0</v>
      </c>
      <c r="F162" s="36">
        <v>32.0</v>
      </c>
      <c r="G162" s="11"/>
      <c r="H162" s="11"/>
      <c r="I162" s="11"/>
      <c r="J162" s="11"/>
      <c r="K162" s="11"/>
      <c r="L162" s="11"/>
      <c r="M162" s="11"/>
      <c r="N162" s="9"/>
      <c r="O162" s="9"/>
      <c r="P162" s="9"/>
    </row>
    <row r="163" ht="13.5" customHeight="1">
      <c r="A163" s="9"/>
      <c r="C163" s="99"/>
      <c r="D163" s="89"/>
      <c r="F163" s="11"/>
      <c r="G163" s="11"/>
      <c r="H163" s="11"/>
      <c r="I163" s="11"/>
      <c r="J163" s="11"/>
      <c r="K163" s="11"/>
      <c r="L163" s="11"/>
      <c r="M163" s="11"/>
      <c r="N163" s="9"/>
      <c r="O163" s="9"/>
      <c r="P163" s="9"/>
    </row>
    <row r="164" ht="13.5" customHeight="1">
      <c r="A164" s="9"/>
      <c r="B164" s="22" t="s">
        <v>292</v>
      </c>
      <c r="C164" s="54"/>
      <c r="E164" s="29"/>
      <c r="F164" s="11"/>
      <c r="G164" s="11"/>
      <c r="H164" s="11"/>
      <c r="I164" s="11"/>
      <c r="J164" s="11"/>
      <c r="K164" s="11"/>
      <c r="L164" s="11"/>
      <c r="M164" s="11"/>
      <c r="N164" s="9"/>
      <c r="O164" s="9"/>
      <c r="P164" s="9"/>
    </row>
    <row r="165" ht="13.5" customHeight="1">
      <c r="A165" s="9"/>
      <c r="B165" s="28" t="s">
        <v>271</v>
      </c>
      <c r="C165" s="1" t="s">
        <v>225</v>
      </c>
      <c r="D165" s="36" t="s">
        <v>46</v>
      </c>
      <c r="E165" s="36">
        <v>5.0</v>
      </c>
      <c r="F165" s="36">
        <v>32.0</v>
      </c>
      <c r="G165" s="49" t="s">
        <v>49</v>
      </c>
      <c r="H165" s="11"/>
      <c r="I165" s="11"/>
      <c r="J165" s="11"/>
      <c r="K165" s="11"/>
      <c r="L165" s="11"/>
      <c r="M165" s="11"/>
      <c r="N165" s="9"/>
      <c r="O165" s="9"/>
      <c r="P165" s="9"/>
    </row>
    <row r="166" ht="13.5" customHeight="1">
      <c r="A166" s="9"/>
      <c r="B166" s="28" t="s">
        <v>272</v>
      </c>
      <c r="C166" s="38" t="s">
        <v>294</v>
      </c>
      <c r="D166" s="36" t="s">
        <v>46</v>
      </c>
      <c r="E166" s="36">
        <v>5.0</v>
      </c>
      <c r="F166" s="36">
        <v>32.0</v>
      </c>
      <c r="G166" s="49" t="s">
        <v>49</v>
      </c>
      <c r="H166" s="11"/>
      <c r="I166" s="11"/>
      <c r="J166" s="11"/>
      <c r="K166" s="11"/>
      <c r="L166" s="11"/>
      <c r="M166" s="11"/>
      <c r="N166" s="9"/>
      <c r="O166" s="9"/>
      <c r="P166" s="9"/>
    </row>
    <row r="167" ht="13.5" customHeight="1">
      <c r="A167" s="9"/>
      <c r="B167" s="28" t="s">
        <v>274</v>
      </c>
      <c r="C167" s="38" t="s">
        <v>195</v>
      </c>
      <c r="D167" s="36" t="s">
        <v>46</v>
      </c>
      <c r="E167" s="36">
        <v>5.0</v>
      </c>
      <c r="F167" s="36">
        <v>32.0</v>
      </c>
      <c r="G167" s="11"/>
      <c r="H167" s="11"/>
      <c r="I167" s="11"/>
      <c r="J167" s="11"/>
      <c r="K167" s="11"/>
      <c r="L167" s="11"/>
      <c r="M167" s="11"/>
      <c r="N167" s="9"/>
      <c r="O167" s="9"/>
      <c r="P167" s="9"/>
    </row>
    <row r="168" ht="13.5" customHeight="1">
      <c r="A168" s="9"/>
      <c r="B168" s="28" t="s">
        <v>275</v>
      </c>
      <c r="C168" s="38" t="s">
        <v>295</v>
      </c>
      <c r="D168" s="36" t="s">
        <v>48</v>
      </c>
      <c r="E168" s="36">
        <v>5.0</v>
      </c>
      <c r="F168" s="36">
        <v>32.0</v>
      </c>
      <c r="G168" s="11"/>
      <c r="H168" s="11"/>
      <c r="I168" s="11"/>
      <c r="J168" s="11"/>
      <c r="K168" s="11"/>
      <c r="L168" s="11"/>
      <c r="M168" s="11"/>
      <c r="N168" s="9"/>
      <c r="O168" s="9"/>
      <c r="P168" s="9"/>
    </row>
    <row r="169" ht="13.5" customHeight="1">
      <c r="A169" s="9"/>
      <c r="B169" s="28" t="s">
        <v>277</v>
      </c>
      <c r="C169" s="109" t="s">
        <v>298</v>
      </c>
      <c r="D169" s="34" t="s">
        <v>252</v>
      </c>
      <c r="E169" s="36">
        <v>5.0</v>
      </c>
      <c r="F169" s="36">
        <v>32.0</v>
      </c>
      <c r="G169" s="11"/>
      <c r="H169" s="11"/>
      <c r="I169" s="11"/>
      <c r="J169" s="11"/>
      <c r="K169" s="11"/>
      <c r="L169" s="11"/>
      <c r="M169" s="11"/>
      <c r="N169" s="9"/>
      <c r="O169" s="9"/>
      <c r="P169" s="9"/>
    </row>
    <row r="170" ht="13.5" customHeight="1">
      <c r="A170" s="9"/>
      <c r="B170" s="47"/>
      <c r="C170" s="110"/>
      <c r="D170" s="89"/>
      <c r="E170" s="35"/>
      <c r="F170" s="11"/>
      <c r="G170" s="11"/>
      <c r="H170" s="11"/>
      <c r="I170" s="11"/>
      <c r="J170" s="11"/>
      <c r="K170" s="11"/>
      <c r="L170" s="11"/>
      <c r="M170" s="11"/>
      <c r="N170" s="9"/>
      <c r="O170" s="9"/>
      <c r="P170" s="9"/>
    </row>
    <row r="171" ht="13.5" customHeight="1">
      <c r="A171" s="9"/>
      <c r="B171" s="22" t="s">
        <v>301</v>
      </c>
      <c r="C171" s="111"/>
      <c r="E171" s="29"/>
      <c r="F171" s="11"/>
      <c r="G171" s="11"/>
      <c r="H171" s="11"/>
      <c r="I171" s="11"/>
      <c r="J171" s="11"/>
      <c r="K171" s="11"/>
      <c r="L171" s="11"/>
      <c r="M171" s="11"/>
      <c r="N171" s="9"/>
      <c r="O171" s="9"/>
      <c r="P171" s="9"/>
    </row>
    <row r="172" ht="13.5" customHeight="1">
      <c r="A172" s="9"/>
      <c r="B172" s="28" t="s">
        <v>271</v>
      </c>
      <c r="C172" s="63" t="s">
        <v>281</v>
      </c>
      <c r="D172" s="36" t="s">
        <v>46</v>
      </c>
      <c r="E172" s="36">
        <v>5.0</v>
      </c>
      <c r="F172" s="36">
        <v>32.0</v>
      </c>
      <c r="G172" s="49" t="s">
        <v>49</v>
      </c>
      <c r="H172" s="11"/>
      <c r="I172" s="11"/>
      <c r="J172" s="11"/>
      <c r="K172" s="11"/>
      <c r="L172" s="11"/>
      <c r="M172" s="11"/>
      <c r="N172" s="9"/>
      <c r="O172" s="9"/>
      <c r="P172" s="9"/>
    </row>
    <row r="173" ht="13.5" customHeight="1">
      <c r="A173" s="9"/>
      <c r="B173" s="28" t="s">
        <v>272</v>
      </c>
      <c r="C173" s="38" t="s">
        <v>294</v>
      </c>
      <c r="D173" s="36" t="s">
        <v>46</v>
      </c>
      <c r="E173" s="36">
        <v>5.0</v>
      </c>
      <c r="F173" s="36">
        <v>32.0</v>
      </c>
      <c r="G173" s="49" t="s">
        <v>49</v>
      </c>
      <c r="H173" s="11"/>
      <c r="I173" s="11"/>
      <c r="J173" s="11"/>
      <c r="K173" s="11"/>
      <c r="L173" s="11"/>
      <c r="M173" s="11"/>
      <c r="N173" s="9"/>
      <c r="O173" s="9"/>
      <c r="P173" s="9"/>
    </row>
    <row r="174" ht="13.5" customHeight="1">
      <c r="A174" s="9"/>
      <c r="B174" s="28" t="s">
        <v>274</v>
      </c>
      <c r="C174" s="83" t="s">
        <v>259</v>
      </c>
      <c r="D174" s="36" t="s">
        <v>46</v>
      </c>
      <c r="E174" s="36">
        <v>5.0</v>
      </c>
      <c r="F174" s="36">
        <v>32.0</v>
      </c>
      <c r="G174" s="11"/>
      <c r="H174" s="11"/>
      <c r="I174" s="11"/>
      <c r="J174" s="11"/>
      <c r="K174" s="11"/>
      <c r="L174" s="11"/>
      <c r="M174" s="11"/>
      <c r="N174" s="9"/>
      <c r="O174" s="9"/>
      <c r="P174" s="9"/>
    </row>
    <row r="175" ht="13.5" customHeight="1">
      <c r="A175" s="9"/>
      <c r="B175" s="28" t="s">
        <v>275</v>
      </c>
      <c r="C175" s="38" t="s">
        <v>276</v>
      </c>
      <c r="D175" s="36" t="s">
        <v>48</v>
      </c>
      <c r="E175" s="36">
        <v>5.0</v>
      </c>
      <c r="F175" s="36">
        <v>32.0</v>
      </c>
      <c r="G175" s="11"/>
      <c r="H175" s="11"/>
      <c r="I175" s="11"/>
      <c r="J175" s="11"/>
      <c r="K175" s="11"/>
      <c r="L175" s="11"/>
      <c r="M175" s="11"/>
      <c r="N175" s="9"/>
      <c r="O175" s="9"/>
      <c r="P175" s="9"/>
    </row>
    <row r="176" ht="13.5" customHeight="1">
      <c r="A176" s="9"/>
      <c r="B176" s="28" t="s">
        <v>277</v>
      </c>
      <c r="C176" s="109" t="s">
        <v>298</v>
      </c>
      <c r="D176" s="34" t="s">
        <v>252</v>
      </c>
      <c r="E176" s="36">
        <v>5.0</v>
      </c>
      <c r="F176" s="36">
        <v>32.0</v>
      </c>
      <c r="G176" s="11"/>
      <c r="H176" s="11"/>
      <c r="I176" s="11"/>
      <c r="J176" s="11"/>
      <c r="K176" s="11"/>
      <c r="L176" s="11"/>
      <c r="M176" s="11"/>
      <c r="N176" s="9"/>
      <c r="O176" s="9"/>
      <c r="P176" s="9"/>
    </row>
    <row r="177" ht="13.5" customHeight="1">
      <c r="A177" s="9"/>
      <c r="B177" s="47"/>
      <c r="C177" s="88"/>
      <c r="D177" s="89"/>
      <c r="E177" s="35"/>
      <c r="F177" s="11"/>
      <c r="G177" s="11"/>
      <c r="H177" s="11"/>
      <c r="I177" s="11"/>
      <c r="J177" s="11"/>
      <c r="K177" s="11"/>
      <c r="L177" s="11"/>
      <c r="M177" s="11"/>
      <c r="N177" s="9"/>
      <c r="O177" s="9"/>
      <c r="P177" s="9"/>
    </row>
    <row r="178" ht="13.5" customHeight="1">
      <c r="A178" s="9"/>
      <c r="B178" s="22" t="s">
        <v>311</v>
      </c>
      <c r="C178" s="54"/>
      <c r="E178" s="29"/>
      <c r="F178" s="11"/>
      <c r="G178" s="11"/>
      <c r="H178" s="11"/>
      <c r="I178" s="11"/>
      <c r="J178" s="11"/>
      <c r="K178" s="11"/>
      <c r="L178" s="11"/>
      <c r="M178" s="11"/>
      <c r="N178" s="9"/>
      <c r="O178" s="9"/>
      <c r="P178" s="9"/>
    </row>
    <row r="179" ht="13.5" customHeight="1">
      <c r="A179" s="9"/>
      <c r="B179" s="28" t="s">
        <v>312</v>
      </c>
      <c r="C179" s="40" t="s">
        <v>313</v>
      </c>
      <c r="D179" s="36" t="s">
        <v>46</v>
      </c>
      <c r="E179" s="36">
        <v>5.0</v>
      </c>
      <c r="F179" s="36">
        <v>32.0</v>
      </c>
      <c r="G179" s="11"/>
      <c r="H179" s="11"/>
      <c r="I179" s="11"/>
      <c r="J179" s="11"/>
      <c r="K179" s="11"/>
      <c r="L179" s="11"/>
      <c r="M179" s="11"/>
      <c r="N179" s="9"/>
      <c r="O179" s="9"/>
      <c r="P179" s="9"/>
    </row>
    <row r="180" ht="13.5" customHeight="1">
      <c r="A180" s="9"/>
      <c r="B180" s="28" t="s">
        <v>315</v>
      </c>
      <c r="C180" s="38" t="s">
        <v>198</v>
      </c>
      <c r="D180" s="36" t="s">
        <v>46</v>
      </c>
      <c r="E180" s="36">
        <v>5.0</v>
      </c>
      <c r="F180" s="36">
        <v>32.0</v>
      </c>
      <c r="G180" s="11"/>
      <c r="H180" s="11"/>
      <c r="I180" s="11"/>
      <c r="J180" s="11"/>
      <c r="K180" s="11"/>
      <c r="L180" s="11"/>
      <c r="M180" s="11"/>
      <c r="N180" s="9"/>
      <c r="O180" s="9"/>
      <c r="P180" s="9"/>
    </row>
    <row r="181" ht="13.5" customHeight="1">
      <c r="A181" s="9"/>
      <c r="B181" s="28" t="s">
        <v>316</v>
      </c>
      <c r="C181" s="1" t="s">
        <v>190</v>
      </c>
      <c r="D181" s="36" t="s">
        <v>46</v>
      </c>
      <c r="E181" s="36">
        <v>5.0</v>
      </c>
      <c r="F181" s="36">
        <v>32.0</v>
      </c>
      <c r="G181" s="11"/>
      <c r="H181" s="11"/>
      <c r="I181" s="11"/>
      <c r="J181" s="11"/>
      <c r="K181" s="11"/>
      <c r="L181" s="11"/>
      <c r="M181" s="11"/>
      <c r="N181" s="9"/>
      <c r="O181" s="9"/>
      <c r="P181" s="9"/>
    </row>
    <row r="182" ht="13.5" customHeight="1">
      <c r="A182" s="9"/>
      <c r="B182" s="28" t="s">
        <v>317</v>
      </c>
      <c r="C182" s="66"/>
      <c r="D182" s="36"/>
      <c r="E182" s="36">
        <v>5.0</v>
      </c>
      <c r="F182" s="36">
        <v>32.0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ht="13.5" customHeight="1">
      <c r="A183" s="9"/>
      <c r="B183" s="28" t="s">
        <v>318</v>
      </c>
      <c r="C183" s="70" t="s">
        <v>319</v>
      </c>
      <c r="D183" s="34" t="s">
        <v>46</v>
      </c>
      <c r="E183" s="36">
        <v>5.0</v>
      </c>
      <c r="F183" s="36">
        <v>32.0</v>
      </c>
      <c r="G183" s="52"/>
      <c r="H183" s="11"/>
      <c r="I183" s="11"/>
      <c r="J183" s="11"/>
      <c r="K183" s="11"/>
      <c r="L183" s="11"/>
      <c r="M183" s="11"/>
      <c r="N183" s="11"/>
      <c r="O183" s="11"/>
      <c r="P183" s="11"/>
    </row>
    <row r="184" ht="13.5" customHeight="1">
      <c r="A184" s="9"/>
      <c r="B184" s="62"/>
      <c r="C184" s="53"/>
      <c r="D184" s="89"/>
      <c r="E184" s="7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ht="13.5" customHeight="1">
      <c r="A185" s="9"/>
      <c r="B185" s="22" t="s">
        <v>320</v>
      </c>
      <c r="C185" s="54"/>
      <c r="D185" s="84"/>
      <c r="E185" s="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ht="13.5" customHeight="1">
      <c r="A186" s="9"/>
      <c r="B186" s="28" t="s">
        <v>312</v>
      </c>
      <c r="C186" s="40" t="s">
        <v>313</v>
      </c>
      <c r="D186" s="36" t="s">
        <v>46</v>
      </c>
      <c r="E186" s="36">
        <v>5.0</v>
      </c>
      <c r="F186" s="36">
        <v>32.0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ht="13.5" customHeight="1">
      <c r="A187" s="9"/>
      <c r="B187" s="28" t="s">
        <v>315</v>
      </c>
      <c r="C187" s="116" t="s">
        <v>225</v>
      </c>
      <c r="D187" s="36" t="s">
        <v>46</v>
      </c>
      <c r="E187" s="36">
        <v>5.0</v>
      </c>
      <c r="F187" s="36">
        <v>32.0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ht="13.5" customHeight="1">
      <c r="A188" s="9"/>
      <c r="B188" s="28" t="s">
        <v>316</v>
      </c>
      <c r="C188" s="38" t="s">
        <v>294</v>
      </c>
      <c r="D188" s="36" t="s">
        <v>46</v>
      </c>
      <c r="E188" s="36">
        <v>5.0</v>
      </c>
      <c r="F188" s="36">
        <v>32.0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ht="13.5" customHeight="1">
      <c r="A189" s="9"/>
      <c r="B189" s="28" t="s">
        <v>317</v>
      </c>
      <c r="C189" s="70" t="s">
        <v>319</v>
      </c>
      <c r="D189" s="36" t="s">
        <v>46</v>
      </c>
      <c r="E189" s="36">
        <v>5.0</v>
      </c>
      <c r="F189" s="36">
        <v>32.0</v>
      </c>
      <c r="G189" s="52"/>
      <c r="H189" s="11"/>
      <c r="I189" s="11"/>
      <c r="J189" s="11"/>
      <c r="K189" s="11"/>
      <c r="L189" s="11"/>
      <c r="M189" s="11"/>
      <c r="N189" s="11"/>
      <c r="O189" s="11"/>
      <c r="P189" s="11"/>
    </row>
    <row r="190" ht="13.5" customHeight="1">
      <c r="A190" s="9"/>
      <c r="B190" s="28" t="s">
        <v>318</v>
      </c>
      <c r="C190" s="41" t="s">
        <v>205</v>
      </c>
      <c r="D190" s="36" t="s">
        <v>46</v>
      </c>
      <c r="E190" s="36">
        <v>5.0</v>
      </c>
      <c r="F190" s="36">
        <v>32.0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ht="13.5" customHeight="1">
      <c r="A191" s="9"/>
      <c r="B191" s="62"/>
      <c r="C191" s="99"/>
      <c r="D191" s="89"/>
      <c r="E191" s="35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ht="13.5" customHeight="1">
      <c r="A192" s="9"/>
      <c r="B192" s="22" t="s">
        <v>323</v>
      </c>
      <c r="C192" s="99"/>
      <c r="D192" s="84"/>
      <c r="E192" s="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ht="13.5" customHeight="1">
      <c r="A193" s="9"/>
      <c r="B193" s="28" t="s">
        <v>312</v>
      </c>
      <c r="C193" s="40" t="s">
        <v>313</v>
      </c>
      <c r="D193" s="36" t="s">
        <v>46</v>
      </c>
      <c r="E193" s="36">
        <v>5.0</v>
      </c>
      <c r="F193" s="36">
        <v>32.0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ht="13.5" customHeight="1">
      <c r="A194" s="9"/>
      <c r="B194" s="28" t="s">
        <v>315</v>
      </c>
      <c r="C194" s="118" t="s">
        <v>198</v>
      </c>
      <c r="D194" s="36" t="s">
        <v>46</v>
      </c>
      <c r="E194" s="36">
        <v>5.0</v>
      </c>
      <c r="F194" s="36">
        <v>32.0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ht="13.5" customHeight="1">
      <c r="A195" s="9"/>
      <c r="B195" s="28" t="s">
        <v>316</v>
      </c>
      <c r="C195" s="38" t="s">
        <v>294</v>
      </c>
      <c r="D195" s="36" t="s">
        <v>46</v>
      </c>
      <c r="E195" s="36">
        <v>5.0</v>
      </c>
      <c r="F195" s="36">
        <v>32.0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ht="13.5" customHeight="1">
      <c r="A196" s="9"/>
      <c r="B196" s="28" t="s">
        <v>317</v>
      </c>
      <c r="C196" s="38" t="s">
        <v>326</v>
      </c>
      <c r="D196" s="36"/>
      <c r="E196" s="36">
        <v>5.0</v>
      </c>
      <c r="F196" s="36">
        <v>32.0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ht="13.5" customHeight="1">
      <c r="A197" s="9"/>
      <c r="B197" s="28" t="s">
        <v>318</v>
      </c>
      <c r="C197" s="70" t="s">
        <v>319</v>
      </c>
      <c r="D197" s="34" t="s">
        <v>46</v>
      </c>
      <c r="E197" s="36">
        <v>5.0</v>
      </c>
      <c r="F197" s="36">
        <v>32.0</v>
      </c>
      <c r="G197" s="52"/>
      <c r="H197" s="11"/>
      <c r="I197" s="11"/>
      <c r="J197" s="11"/>
      <c r="K197" s="11"/>
      <c r="L197" s="11"/>
      <c r="M197" s="11"/>
      <c r="N197" s="11"/>
      <c r="O197" s="11"/>
      <c r="P197" s="11"/>
    </row>
    <row r="198" ht="13.5" customHeight="1">
      <c r="A198" s="9"/>
      <c r="B198" s="62"/>
      <c r="E198" s="35"/>
      <c r="F198" s="35"/>
      <c r="G198" s="17"/>
      <c r="H198" s="18"/>
      <c r="I198" s="11"/>
      <c r="J198" s="11"/>
      <c r="K198" s="11"/>
      <c r="L198" s="5"/>
      <c r="M198" s="5"/>
      <c r="N198" s="5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3.5" customHeight="1">
      <c r="A199" s="9"/>
      <c r="B199" s="62"/>
      <c r="E199" s="35"/>
      <c r="F199" s="35"/>
      <c r="G199" s="17"/>
      <c r="H199" s="18"/>
      <c r="I199" s="11"/>
      <c r="J199" s="11"/>
      <c r="K199" s="11"/>
      <c r="L199" s="5"/>
      <c r="M199" s="5"/>
      <c r="N199" s="5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3.5" customHeight="1">
      <c r="A200" s="9"/>
      <c r="B200" s="11"/>
      <c r="C200" s="11"/>
      <c r="D200" s="11"/>
      <c r="E200" s="5"/>
      <c r="F200" s="5"/>
      <c r="G200" s="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ht="13.5" customHeight="1">
      <c r="A201" s="9"/>
      <c r="B201" s="121" t="s">
        <v>327</v>
      </c>
      <c r="D201" s="89"/>
      <c r="G201" s="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ht="13.5" customHeight="1">
      <c r="A202" s="9"/>
      <c r="B202" s="22" t="s">
        <v>328</v>
      </c>
      <c r="C202" s="122"/>
      <c r="D202" s="122"/>
      <c r="E202" s="122"/>
      <c r="F202" s="122"/>
      <c r="G202" s="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ht="13.5" customHeight="1">
      <c r="A203" s="9"/>
      <c r="B203" s="11"/>
      <c r="C203" s="1" t="s">
        <v>170</v>
      </c>
      <c r="D203" s="36" t="s">
        <v>46</v>
      </c>
      <c r="E203" s="36">
        <v>10.0</v>
      </c>
      <c r="F203" s="5"/>
      <c r="G203" s="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ht="13.5" customHeight="1">
      <c r="A204" s="9"/>
      <c r="B204" s="11"/>
      <c r="C204" s="1" t="s">
        <v>225</v>
      </c>
      <c r="D204" s="36" t="s">
        <v>46</v>
      </c>
      <c r="E204" s="36">
        <v>10.0</v>
      </c>
      <c r="F204" s="5"/>
      <c r="G204" s="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ht="13.5" customHeight="1">
      <c r="A205" s="9"/>
      <c r="B205" s="11"/>
      <c r="C205" s="41" t="s">
        <v>205</v>
      </c>
      <c r="D205" s="36" t="s">
        <v>46</v>
      </c>
      <c r="E205" s="36">
        <v>10.0</v>
      </c>
      <c r="F205" s="5"/>
      <c r="G205" s="5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ht="13.5" customHeight="1">
      <c r="A206" s="9"/>
      <c r="B206" s="11"/>
      <c r="C206" s="11"/>
      <c r="D206" s="11"/>
      <c r="E206" s="98"/>
      <c r="F206" s="5"/>
      <c r="G206" s="5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ht="13.5" customHeight="1">
      <c r="A207" s="9"/>
      <c r="B207" s="22" t="s">
        <v>329</v>
      </c>
      <c r="C207" s="11"/>
      <c r="D207" s="11"/>
      <c r="E207" s="98"/>
      <c r="F207" s="5"/>
      <c r="G207" s="5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ht="13.5" customHeight="1">
      <c r="A208" s="9"/>
      <c r="B208" s="11"/>
      <c r="C208" s="38" t="s">
        <v>294</v>
      </c>
      <c r="D208" s="36" t="s">
        <v>46</v>
      </c>
      <c r="E208" s="36">
        <v>10.0</v>
      </c>
      <c r="F208" s="5"/>
      <c r="G208" s="5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ht="13.5" customHeight="1">
      <c r="A209" s="9"/>
      <c r="B209" s="11"/>
      <c r="C209" s="38" t="s">
        <v>198</v>
      </c>
      <c r="D209" s="36" t="s">
        <v>46</v>
      </c>
      <c r="E209" s="36">
        <v>10.0</v>
      </c>
      <c r="F209" s="5"/>
      <c r="G209" s="5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ht="13.5" customHeight="1">
      <c r="A210" s="9"/>
      <c r="B210" s="11"/>
      <c r="C210" s="38" t="s">
        <v>195</v>
      </c>
      <c r="D210" s="36" t="s">
        <v>46</v>
      </c>
      <c r="E210" s="36">
        <v>10.0</v>
      </c>
      <c r="F210" s="5"/>
      <c r="G210" s="5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ht="13.5" customHeight="1">
      <c r="A211" s="9"/>
      <c r="B211" s="11"/>
      <c r="C211" s="33" t="s">
        <v>240</v>
      </c>
      <c r="D211" s="36" t="s">
        <v>46</v>
      </c>
      <c r="E211" s="36">
        <v>10.0</v>
      </c>
      <c r="F211" s="5"/>
      <c r="G211" s="5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ht="13.5" customHeight="1">
      <c r="A212" s="9"/>
      <c r="B212" s="11"/>
      <c r="C212" s="40" t="s">
        <v>313</v>
      </c>
      <c r="D212" s="36" t="s">
        <v>46</v>
      </c>
      <c r="E212" s="36">
        <v>10.0</v>
      </c>
      <c r="F212" s="5"/>
      <c r="G212" s="5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ht="13.5" customHeight="1">
      <c r="A213" s="9"/>
      <c r="B213" s="11"/>
      <c r="C213" s="70" t="s">
        <v>319</v>
      </c>
      <c r="D213" s="36" t="s">
        <v>46</v>
      </c>
      <c r="E213" s="36">
        <v>10.0</v>
      </c>
      <c r="F213" s="5"/>
      <c r="G213" s="5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ht="13.5" customHeight="1">
      <c r="A214" s="9"/>
      <c r="B214" s="11"/>
      <c r="C214" s="70"/>
      <c r="D214" s="11"/>
      <c r="E214" s="98"/>
      <c r="F214" s="5"/>
      <c r="G214" s="5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ht="13.5" customHeight="1">
      <c r="A215" s="9"/>
      <c r="B215" s="22" t="s">
        <v>330</v>
      </c>
      <c r="C215" s="11"/>
      <c r="D215" s="11"/>
      <c r="E215" s="98"/>
      <c r="F215" s="5"/>
      <c r="G215" s="5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ht="13.5" customHeight="1">
      <c r="A216" s="9"/>
      <c r="B216" s="11"/>
      <c r="C216" s="1" t="s">
        <v>62</v>
      </c>
      <c r="D216" s="36" t="s">
        <v>46</v>
      </c>
      <c r="E216" s="36">
        <v>10.0</v>
      </c>
      <c r="F216" s="5"/>
      <c r="G216" s="5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ht="13.5" customHeight="1">
      <c r="A217" s="9"/>
      <c r="B217" s="11"/>
      <c r="C217" s="70" t="s">
        <v>112</v>
      </c>
      <c r="D217" s="36" t="s">
        <v>46</v>
      </c>
      <c r="E217" s="36">
        <v>10.0</v>
      </c>
      <c r="F217" s="5"/>
      <c r="G217" s="5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ht="13.5" customHeight="1">
      <c r="A218" s="9"/>
      <c r="B218" s="11"/>
      <c r="C218" s="1" t="s">
        <v>190</v>
      </c>
      <c r="D218" s="36" t="s">
        <v>46</v>
      </c>
      <c r="E218" s="36">
        <v>10.0</v>
      </c>
      <c r="F218" s="5"/>
      <c r="G218" s="5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ht="13.5" customHeight="1">
      <c r="A219" s="9"/>
      <c r="B219" s="11"/>
      <c r="C219" s="70" t="s">
        <v>121</v>
      </c>
      <c r="D219" s="36" t="s">
        <v>46</v>
      </c>
      <c r="E219" s="36">
        <v>10.0</v>
      </c>
      <c r="F219" s="5"/>
      <c r="G219" s="5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ht="13.5" customHeight="1">
      <c r="A220" s="9"/>
      <c r="B220" s="11"/>
      <c r="C220" s="11"/>
      <c r="D220" s="11"/>
      <c r="E220" s="98"/>
      <c r="F220" s="5"/>
      <c r="G220" s="5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ht="13.5" customHeight="1">
      <c r="A221" s="9"/>
      <c r="B221" s="11"/>
      <c r="C221" s="11"/>
      <c r="D221" s="11"/>
      <c r="E221" s="98"/>
      <c r="F221" s="5"/>
      <c r="G221" s="5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ht="13.5" customHeight="1">
      <c r="A222" s="9"/>
      <c r="B222" s="22" t="s">
        <v>332</v>
      </c>
      <c r="C222" s="124"/>
      <c r="D222" s="125"/>
      <c r="E222" s="98"/>
      <c r="F222" s="39"/>
      <c r="G222" s="11"/>
      <c r="H222" s="126"/>
      <c r="I222" s="11"/>
      <c r="J222" s="11"/>
      <c r="K222" s="11"/>
      <c r="L222" s="5"/>
      <c r="M222" s="5"/>
      <c r="N222" s="5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3.5" customHeight="1">
      <c r="A223" s="9"/>
      <c r="B223" s="85"/>
      <c r="C223" s="33" t="s">
        <v>44</v>
      </c>
      <c r="D223" s="36" t="s">
        <v>46</v>
      </c>
      <c r="E223" s="36">
        <v>10.0</v>
      </c>
      <c r="F223" s="35"/>
      <c r="G223" s="11"/>
      <c r="H223" s="126"/>
      <c r="I223" s="11"/>
      <c r="J223" s="11"/>
      <c r="K223" s="11"/>
      <c r="L223" s="5"/>
      <c r="M223" s="5"/>
      <c r="N223" s="5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3.5" customHeight="1">
      <c r="A224" s="9"/>
      <c r="B224" s="85"/>
      <c r="C224" s="70" t="s">
        <v>129</v>
      </c>
      <c r="D224" s="36" t="s">
        <v>46</v>
      </c>
      <c r="E224" s="36">
        <v>10.0</v>
      </c>
      <c r="F224" s="35"/>
      <c r="G224" s="11"/>
      <c r="H224" s="126"/>
      <c r="I224" s="11"/>
      <c r="J224" s="11"/>
      <c r="K224" s="11"/>
      <c r="L224" s="5"/>
      <c r="M224" s="5"/>
      <c r="N224" s="5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3.5" customHeight="1">
      <c r="A225" s="9"/>
      <c r="B225" s="85"/>
      <c r="C225" s="33" t="s">
        <v>259</v>
      </c>
      <c r="D225" s="36" t="s">
        <v>46</v>
      </c>
      <c r="E225" s="36">
        <v>10.0</v>
      </c>
      <c r="F225" s="35"/>
      <c r="G225" s="11"/>
      <c r="H225" s="126"/>
      <c r="I225" s="11"/>
      <c r="J225" s="11"/>
      <c r="K225" s="11"/>
      <c r="L225" s="5"/>
      <c r="M225" s="5"/>
      <c r="N225" s="5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3.5" customHeight="1">
      <c r="A226" s="9"/>
      <c r="B226" s="85"/>
      <c r="C226" s="70" t="s">
        <v>253</v>
      </c>
      <c r="D226" s="36" t="s">
        <v>46</v>
      </c>
      <c r="E226" s="36">
        <v>10.0</v>
      </c>
      <c r="F226" s="35"/>
      <c r="G226" s="11"/>
      <c r="H226" s="126"/>
      <c r="I226" s="11"/>
      <c r="J226" s="11"/>
      <c r="K226" s="11"/>
      <c r="L226" s="5"/>
      <c r="M226" s="5"/>
      <c r="N226" s="5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3.5" customHeight="1">
      <c r="A227" s="9"/>
      <c r="B227" s="85"/>
      <c r="C227" s="62"/>
      <c r="D227" s="35"/>
      <c r="E227" s="35"/>
      <c r="F227" s="35"/>
      <c r="G227" s="11"/>
      <c r="H227" s="126"/>
      <c r="I227" s="11"/>
      <c r="J227" s="11"/>
      <c r="K227" s="11"/>
      <c r="L227" s="5"/>
      <c r="M227" s="5"/>
      <c r="N227" s="5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3.5" customHeight="1">
      <c r="A228" s="9"/>
      <c r="B228" s="85"/>
      <c r="C228" s="62"/>
      <c r="D228" s="35"/>
      <c r="E228" s="35"/>
      <c r="F228" s="35"/>
      <c r="G228" s="11"/>
      <c r="H228" s="126"/>
      <c r="I228" s="11"/>
      <c r="J228" s="11"/>
      <c r="K228" s="11"/>
      <c r="L228" s="5"/>
      <c r="M228" s="5"/>
      <c r="N228" s="5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3.5" customHeight="1">
      <c r="A229" s="9"/>
      <c r="B229" s="85"/>
      <c r="C229" s="62"/>
      <c r="D229" s="35"/>
      <c r="E229" s="35"/>
      <c r="F229" s="35"/>
      <c r="G229" s="11"/>
      <c r="H229" s="126"/>
      <c r="I229" s="11"/>
      <c r="J229" s="11"/>
      <c r="K229" s="11"/>
      <c r="L229" s="5"/>
      <c r="M229" s="5"/>
      <c r="N229" s="5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3.5" customHeight="1">
      <c r="A230" s="9"/>
      <c r="B230" s="85"/>
      <c r="C230" s="62"/>
      <c r="D230" s="35"/>
      <c r="E230" s="35"/>
      <c r="F230" s="35"/>
      <c r="G230" s="11"/>
      <c r="H230" s="126"/>
      <c r="I230" s="11"/>
      <c r="J230" s="11"/>
      <c r="K230" s="11"/>
      <c r="L230" s="5"/>
      <c r="M230" s="5"/>
      <c r="N230" s="5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3.5" customHeight="1">
      <c r="A231" s="9"/>
      <c r="B231" s="85"/>
      <c r="C231" s="62"/>
      <c r="D231" s="35"/>
      <c r="E231" s="35"/>
      <c r="F231" s="35"/>
      <c r="G231" s="11"/>
      <c r="H231" s="126"/>
      <c r="I231" s="11"/>
      <c r="J231" s="11"/>
      <c r="K231" s="11"/>
      <c r="L231" s="5"/>
      <c r="M231" s="5"/>
      <c r="N231" s="5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3.5" customHeight="1">
      <c r="A232" s="9"/>
      <c r="B232" s="85"/>
      <c r="C232" s="62"/>
      <c r="D232" s="35"/>
      <c r="E232" s="35"/>
      <c r="F232" s="35"/>
      <c r="G232" s="11"/>
      <c r="H232" s="126"/>
      <c r="I232" s="11"/>
      <c r="J232" s="11"/>
      <c r="K232" s="11"/>
      <c r="L232" s="5"/>
      <c r="M232" s="5"/>
      <c r="N232" s="5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3.5" customHeight="1">
      <c r="A233" s="9"/>
      <c r="B233" s="85"/>
      <c r="C233" s="62"/>
      <c r="D233" s="35"/>
      <c r="E233" s="35"/>
      <c r="F233" s="35"/>
      <c r="G233" s="11"/>
      <c r="H233" s="126"/>
      <c r="I233" s="11"/>
      <c r="J233" s="11"/>
      <c r="K233" s="11"/>
      <c r="L233" s="5"/>
      <c r="M233" s="5"/>
      <c r="N233" s="5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3.5" customHeight="1">
      <c r="A234" s="47"/>
      <c r="B234" s="9"/>
      <c r="C234" s="129" t="s">
        <v>334</v>
      </c>
      <c r="D234" s="130"/>
      <c r="E234" s="130"/>
      <c r="F234" s="11"/>
      <c r="G234" s="11"/>
      <c r="H234" s="60"/>
      <c r="I234" s="11"/>
      <c r="J234" s="11"/>
      <c r="K234" s="11"/>
      <c r="L234" s="5"/>
      <c r="M234" s="5"/>
      <c r="N234" s="5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40.5" customHeight="1">
      <c r="A235" s="9"/>
      <c r="B235" s="86"/>
      <c r="C235" s="87" t="s">
        <v>335</v>
      </c>
      <c r="D235" s="13" t="s">
        <v>207</v>
      </c>
      <c r="E235" s="13" t="s">
        <v>208</v>
      </c>
      <c r="F235" s="131" t="s">
        <v>209</v>
      </c>
      <c r="G235" s="131" t="s">
        <v>210</v>
      </c>
      <c r="H235" s="131" t="s">
        <v>211</v>
      </c>
      <c r="I235" s="13" t="s">
        <v>212</v>
      </c>
      <c r="J235" s="13" t="s">
        <v>213</v>
      </c>
      <c r="K235" s="106" t="s">
        <v>214</v>
      </c>
      <c r="L235" s="132" t="s">
        <v>215</v>
      </c>
      <c r="M235" s="5"/>
      <c r="N235" s="5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3.5" customHeight="1">
      <c r="A236" s="9"/>
      <c r="B236" s="107">
        <v>1.0</v>
      </c>
      <c r="C236" s="1" t="s">
        <v>281</v>
      </c>
      <c r="D236" s="35">
        <f t="shared" ref="D236:D254" si="1">COUNTIF($C$4:$C$226,C236)</f>
        <v>2</v>
      </c>
      <c r="E236" s="92">
        <f>'Asignación-Profesor'!D56-D236</f>
        <v>0</v>
      </c>
      <c r="F236" s="35">
        <f t="shared" ref="F236:F254" si="2">E236+D236</f>
        <v>2</v>
      </c>
      <c r="G236" s="35">
        <f>'Asignación-Profesor'!P56</f>
        <v>64</v>
      </c>
      <c r="H236" s="35">
        <f>'Asignación-Profesor'!Q56</f>
        <v>10</v>
      </c>
      <c r="I236" s="60"/>
      <c r="J236" s="11"/>
      <c r="K236" s="134" t="s">
        <v>338</v>
      </c>
      <c r="L236" s="5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3.5" customHeight="1">
      <c r="A237" s="107"/>
      <c r="B237" s="107">
        <v>2.0</v>
      </c>
      <c r="C237" s="38" t="s">
        <v>294</v>
      </c>
      <c r="D237" s="35">
        <f t="shared" si="1"/>
        <v>5</v>
      </c>
      <c r="E237" s="92">
        <f>'Asignación-Profesor'!D57-D237</f>
        <v>0</v>
      </c>
      <c r="F237" s="35">
        <f t="shared" si="2"/>
        <v>5</v>
      </c>
      <c r="G237" s="35">
        <f>'Asignación-Profesor'!P57</f>
        <v>128</v>
      </c>
      <c r="H237" s="35">
        <f>'Asignación-Profesor'!Q57</f>
        <v>30</v>
      </c>
      <c r="I237" s="11"/>
      <c r="J237" s="11"/>
      <c r="K237" s="134" t="s">
        <v>338</v>
      </c>
      <c r="L237" s="5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3.5" customHeight="1">
      <c r="A238" s="9"/>
      <c r="B238" s="107">
        <v>3.0</v>
      </c>
      <c r="C238" s="38" t="s">
        <v>198</v>
      </c>
      <c r="D238" s="35">
        <f t="shared" si="1"/>
        <v>5</v>
      </c>
      <c r="E238" s="92">
        <f>'Asignación-Profesor'!D58-D238</f>
        <v>0</v>
      </c>
      <c r="F238" s="35">
        <f t="shared" si="2"/>
        <v>5</v>
      </c>
      <c r="G238" s="35">
        <f>'Asignación-Profesor'!P58</f>
        <v>144</v>
      </c>
      <c r="H238" s="35">
        <f>'Asignación-Profesor'!Q58</f>
        <v>30</v>
      </c>
      <c r="I238" s="11"/>
      <c r="J238" s="11"/>
      <c r="K238" s="134" t="s">
        <v>338</v>
      </c>
      <c r="L238" s="5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3.5" customHeight="1">
      <c r="A239" s="9"/>
      <c r="B239" s="107">
        <v>4.0</v>
      </c>
      <c r="C239" s="38" t="s">
        <v>195</v>
      </c>
      <c r="D239" s="35">
        <f t="shared" si="1"/>
        <v>5</v>
      </c>
      <c r="E239" s="92">
        <f>'Asignación-Profesor'!D59-D239</f>
        <v>0</v>
      </c>
      <c r="F239" s="35">
        <f t="shared" si="2"/>
        <v>5</v>
      </c>
      <c r="G239" s="35">
        <f>'Asignación-Profesor'!P59</f>
        <v>144</v>
      </c>
      <c r="H239" s="35">
        <f>'Asignación-Profesor'!Q59</f>
        <v>30</v>
      </c>
      <c r="I239" s="11"/>
      <c r="J239" s="11"/>
      <c r="K239" s="134" t="s">
        <v>338</v>
      </c>
      <c r="L239" s="5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3.5" customHeight="1">
      <c r="A240" s="9"/>
      <c r="B240" s="107">
        <v>5.0</v>
      </c>
      <c r="C240" s="40" t="s">
        <v>313</v>
      </c>
      <c r="D240" s="35">
        <f t="shared" si="1"/>
        <v>4</v>
      </c>
      <c r="E240" s="92">
        <f>'Asignación-Profesor'!D60-D240</f>
        <v>0</v>
      </c>
      <c r="F240" s="35">
        <f t="shared" si="2"/>
        <v>4</v>
      </c>
      <c r="G240" s="35">
        <f>'Asignación-Profesor'!P60</f>
        <v>96</v>
      </c>
      <c r="H240" s="35">
        <f>'Asignación-Profesor'!Q60</f>
        <v>25</v>
      </c>
      <c r="I240" s="9"/>
      <c r="J240" s="11"/>
      <c r="K240" s="134" t="s">
        <v>339</v>
      </c>
      <c r="L240" s="5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3.5" customHeight="1">
      <c r="A241" s="9"/>
      <c r="B241" s="107">
        <v>6.0</v>
      </c>
      <c r="C241" s="38" t="s">
        <v>182</v>
      </c>
      <c r="D241" s="35">
        <f t="shared" si="1"/>
        <v>3</v>
      </c>
      <c r="E241" s="92">
        <f>'Asignación-Profesor'!D61-D241</f>
        <v>1</v>
      </c>
      <c r="F241" s="35">
        <f t="shared" si="2"/>
        <v>4</v>
      </c>
      <c r="G241" s="35">
        <f>'Asignación-Profesor'!P61</f>
        <v>120</v>
      </c>
      <c r="H241" s="35">
        <f>'Asignación-Profesor'!Q61</f>
        <v>19</v>
      </c>
      <c r="I241" s="11"/>
      <c r="J241" s="11"/>
      <c r="K241" s="134" t="s">
        <v>338</v>
      </c>
      <c r="L241" s="5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3.5" customHeight="1">
      <c r="A242" s="9"/>
      <c r="B242" s="107">
        <v>7.0</v>
      </c>
      <c r="C242" s="1" t="s">
        <v>170</v>
      </c>
      <c r="D242" s="35">
        <f t="shared" si="1"/>
        <v>4</v>
      </c>
      <c r="E242" s="92">
        <f>'Asignación-Profesor'!D62-D242</f>
        <v>0</v>
      </c>
      <c r="F242" s="35">
        <f t="shared" si="2"/>
        <v>4</v>
      </c>
      <c r="G242" s="35">
        <f>'Asignación-Profesor'!P62</f>
        <v>102</v>
      </c>
      <c r="H242" s="35">
        <f>'Asignación-Profesor'!Q62</f>
        <v>25</v>
      </c>
      <c r="I242" s="11"/>
      <c r="J242" s="11"/>
      <c r="K242" s="136" t="s">
        <v>341</v>
      </c>
      <c r="L242" s="49" t="s">
        <v>342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3.5" customHeight="1">
      <c r="A243" s="9"/>
      <c r="B243" s="107">
        <v>8.0</v>
      </c>
      <c r="C243" s="33" t="s">
        <v>44</v>
      </c>
      <c r="D243" s="35">
        <f t="shared" si="1"/>
        <v>5</v>
      </c>
      <c r="E243" s="92">
        <f>'Asignación-Profesor'!D63-D243</f>
        <v>0</v>
      </c>
      <c r="F243" s="35">
        <f t="shared" si="2"/>
        <v>5</v>
      </c>
      <c r="G243" s="35">
        <f>'Asignación-Profesor'!P63</f>
        <v>80</v>
      </c>
      <c r="H243" s="35">
        <f>'Asignación-Profesor'!Q63</f>
        <v>32</v>
      </c>
      <c r="I243" s="11"/>
      <c r="J243" s="11"/>
      <c r="K243" s="134" t="s">
        <v>338</v>
      </c>
      <c r="L243" s="5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3.5" customHeight="1">
      <c r="A244" s="9"/>
      <c r="B244" s="107">
        <v>9.0</v>
      </c>
      <c r="C244" s="1" t="s">
        <v>225</v>
      </c>
      <c r="D244" s="35">
        <f t="shared" si="1"/>
        <v>5</v>
      </c>
      <c r="E244" s="92">
        <f>'Asignación-Profesor'!D64-D244</f>
        <v>0</v>
      </c>
      <c r="F244" s="35">
        <f t="shared" si="2"/>
        <v>5</v>
      </c>
      <c r="G244" s="35">
        <f>'Asignación-Profesor'!P64</f>
        <v>136</v>
      </c>
      <c r="H244" s="35">
        <f>'Asignación-Profesor'!Q64</f>
        <v>30</v>
      </c>
      <c r="I244" s="11"/>
      <c r="J244" s="11"/>
      <c r="K244" s="136" t="s">
        <v>349</v>
      </c>
      <c r="L244" s="49" t="s">
        <v>342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3.5" customHeight="1">
      <c r="A245" s="9"/>
      <c r="B245" s="107">
        <v>10.0</v>
      </c>
      <c r="C245" s="1" t="s">
        <v>62</v>
      </c>
      <c r="D245" s="35">
        <f t="shared" si="1"/>
        <v>5</v>
      </c>
      <c r="E245" s="92">
        <f>'Asignación-Profesor'!D65-D245</f>
        <v>0</v>
      </c>
      <c r="F245" s="35">
        <f t="shared" si="2"/>
        <v>5</v>
      </c>
      <c r="G245" s="35">
        <f>'Asignación-Profesor'!P65</f>
        <v>80</v>
      </c>
      <c r="H245" s="35">
        <f>'Asignación-Profesor'!Q65</f>
        <v>32</v>
      </c>
      <c r="I245" s="11"/>
      <c r="J245" s="11"/>
      <c r="K245" s="140" t="s">
        <v>350</v>
      </c>
      <c r="L245" s="5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3.5" customHeight="1">
      <c r="A246" s="9"/>
      <c r="B246" s="107">
        <v>11.0</v>
      </c>
      <c r="C246" s="41" t="s">
        <v>205</v>
      </c>
      <c r="D246" s="35">
        <f t="shared" si="1"/>
        <v>5</v>
      </c>
      <c r="E246" s="92">
        <f>'Asignación-Profesor'!D66-D246</f>
        <v>0</v>
      </c>
      <c r="F246" s="35">
        <f t="shared" si="2"/>
        <v>5</v>
      </c>
      <c r="G246" s="35">
        <f>'Asignación-Profesor'!P66</f>
        <v>152</v>
      </c>
      <c r="H246" s="35">
        <f>'Asignación-Profesor'!Q66</f>
        <v>30</v>
      </c>
      <c r="I246" s="11"/>
      <c r="J246" s="11"/>
      <c r="K246" s="134" t="s">
        <v>352</v>
      </c>
      <c r="L246" s="49" t="s">
        <v>342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3.5" customHeight="1">
      <c r="A247" s="5"/>
      <c r="B247" s="107">
        <v>12.0</v>
      </c>
      <c r="C247" s="1" t="s">
        <v>190</v>
      </c>
      <c r="D247" s="35">
        <f t="shared" si="1"/>
        <v>5</v>
      </c>
      <c r="E247" s="92">
        <f>'Asignación-Profesor'!D67-D247</f>
        <v>0</v>
      </c>
      <c r="F247" s="35">
        <f t="shared" si="2"/>
        <v>5</v>
      </c>
      <c r="G247" s="35">
        <f>'Asignación-Profesor'!P67</f>
        <v>152</v>
      </c>
      <c r="H247" s="35">
        <f>'Asignación-Profesor'!Q67</f>
        <v>30</v>
      </c>
      <c r="I247" s="5"/>
      <c r="J247" s="5"/>
      <c r="K247" s="140" t="s">
        <v>353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3.5" customHeight="1">
      <c r="A248" s="5"/>
      <c r="B248" s="107">
        <v>13.0</v>
      </c>
      <c r="C248" s="33" t="s">
        <v>240</v>
      </c>
      <c r="D248" s="35">
        <f t="shared" si="1"/>
        <v>3</v>
      </c>
      <c r="E248" s="92">
        <f>'Asignación-Profesor'!D68-D248</f>
        <v>0</v>
      </c>
      <c r="F248" s="35">
        <f t="shared" si="2"/>
        <v>3</v>
      </c>
      <c r="G248" s="35">
        <f>'Asignación-Profesor'!P68</f>
        <v>62</v>
      </c>
      <c r="H248" s="35">
        <f>'Asignación-Profesor'!Q68</f>
        <v>22</v>
      </c>
      <c r="I248" s="5"/>
      <c r="J248" s="5"/>
      <c r="K248" s="140" t="s">
        <v>353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3.5" customHeight="1">
      <c r="A249" s="5"/>
      <c r="B249" s="107">
        <v>14.0</v>
      </c>
      <c r="C249" s="70" t="s">
        <v>129</v>
      </c>
      <c r="D249" s="35">
        <f t="shared" si="1"/>
        <v>5</v>
      </c>
      <c r="E249" s="92">
        <f>'Asignación-Profesor'!D69-D249</f>
        <v>0</v>
      </c>
      <c r="F249" s="35">
        <f t="shared" si="2"/>
        <v>5</v>
      </c>
      <c r="G249" s="35">
        <f>'Asignación-Profesor'!P69</f>
        <v>80</v>
      </c>
      <c r="H249" s="35">
        <f>'Asignación-Profesor'!Q69</f>
        <v>32</v>
      </c>
      <c r="I249" s="5"/>
      <c r="J249" s="5"/>
      <c r="K249" s="134" t="s">
        <v>338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0" customHeight="1">
      <c r="A250" s="5"/>
      <c r="B250" s="107">
        <v>15.0</v>
      </c>
      <c r="C250" s="70" t="s">
        <v>112</v>
      </c>
      <c r="D250" s="35">
        <f t="shared" si="1"/>
        <v>5</v>
      </c>
      <c r="E250" s="92">
        <f>'Asignación-Profesor'!D70-D250</f>
        <v>0</v>
      </c>
      <c r="F250" s="35">
        <f t="shared" si="2"/>
        <v>5</v>
      </c>
      <c r="G250" s="35">
        <f>'Asignación-Profesor'!P70</f>
        <v>62</v>
      </c>
      <c r="H250" s="35">
        <f>'Asignación-Profesor'!Q70</f>
        <v>32</v>
      </c>
      <c r="I250" s="7"/>
      <c r="J250" s="7"/>
      <c r="K250" s="141" t="s">
        <v>353</v>
      </c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5"/>
      <c r="Y250" s="5"/>
      <c r="Z250" s="5"/>
      <c r="AA250" s="5"/>
      <c r="AB250" s="5"/>
    </row>
    <row r="251" ht="15.0" customHeight="1">
      <c r="A251" s="7"/>
      <c r="B251" s="107">
        <v>16.0</v>
      </c>
      <c r="C251" s="70" t="s">
        <v>121</v>
      </c>
      <c r="D251" s="35">
        <f t="shared" si="1"/>
        <v>5</v>
      </c>
      <c r="E251" s="92">
        <f>'Asignación-Profesor'!D71-D251</f>
        <v>0</v>
      </c>
      <c r="F251" s="35">
        <f t="shared" si="2"/>
        <v>5</v>
      </c>
      <c r="G251" s="35">
        <f>'Asignación-Profesor'!P71</f>
        <v>62</v>
      </c>
      <c r="H251" s="35">
        <f>'Asignación-Profesor'!Q71</f>
        <v>32</v>
      </c>
      <c r="I251" s="7"/>
      <c r="J251" s="7"/>
      <c r="K251" s="141" t="s">
        <v>353</v>
      </c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0" customHeight="1">
      <c r="A252" s="7"/>
      <c r="B252" s="107">
        <v>17.0</v>
      </c>
      <c r="C252" s="70" t="s">
        <v>253</v>
      </c>
      <c r="D252" s="35">
        <f t="shared" si="1"/>
        <v>5</v>
      </c>
      <c r="E252" s="92">
        <f>'Asignación-Profesor'!D72-D252</f>
        <v>0</v>
      </c>
      <c r="F252" s="35">
        <f t="shared" si="2"/>
        <v>5</v>
      </c>
      <c r="G252" s="35">
        <f>'Asignación-Profesor'!P72</f>
        <v>126</v>
      </c>
      <c r="H252" s="35">
        <f>'Asignación-Profesor'!Q72</f>
        <v>30</v>
      </c>
      <c r="I252" s="7"/>
      <c r="J252" s="7"/>
      <c r="K252" s="105" t="s">
        <v>338</v>
      </c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0" customHeight="1">
      <c r="A253" s="7"/>
      <c r="B253" s="107">
        <v>18.0</v>
      </c>
      <c r="C253" s="33" t="s">
        <v>259</v>
      </c>
      <c r="D253" s="35">
        <f t="shared" si="1"/>
        <v>5</v>
      </c>
      <c r="E253" s="92">
        <f>'Asignación-Profesor'!D73-D253</f>
        <v>0</v>
      </c>
      <c r="F253" s="35">
        <f t="shared" si="2"/>
        <v>5</v>
      </c>
      <c r="G253" s="35">
        <f>'Asignación-Profesor'!P73</f>
        <v>126</v>
      </c>
      <c r="H253" s="35">
        <f>'Asignación-Profesor'!Q73</f>
        <v>32</v>
      </c>
      <c r="K253" s="105" t="s">
        <v>338</v>
      </c>
    </row>
    <row r="254" ht="15.0" customHeight="1">
      <c r="A254" s="7"/>
      <c r="B254" s="144">
        <v>19.0</v>
      </c>
      <c r="C254" s="70" t="s">
        <v>319</v>
      </c>
      <c r="D254" s="35">
        <f t="shared" si="1"/>
        <v>4</v>
      </c>
      <c r="E254" s="92">
        <f>'Asignación-Profesor'!D74-D254</f>
        <v>0</v>
      </c>
      <c r="F254" s="35">
        <f t="shared" si="2"/>
        <v>4</v>
      </c>
      <c r="G254" s="35">
        <f>'Asignación-Profesor'!P74</f>
        <v>96</v>
      </c>
      <c r="H254" s="35">
        <f>'Asignación-Profesor'!Q74</f>
        <v>25</v>
      </c>
    </row>
    <row r="255" ht="13.5" customHeight="1">
      <c r="A255" s="7"/>
      <c r="B255" s="144">
        <v>22.0</v>
      </c>
      <c r="C255" s="145" t="s">
        <v>354</v>
      </c>
    </row>
    <row r="256" ht="13.5" customHeight="1">
      <c r="A256" s="7"/>
      <c r="C256" s="145"/>
    </row>
    <row r="257" ht="13.5" customHeight="1">
      <c r="A257" s="7"/>
    </row>
    <row r="258" ht="13.5" customHeight="1">
      <c r="A258" s="7"/>
    </row>
    <row r="259" ht="13.5" customHeight="1">
      <c r="A259" s="7"/>
    </row>
    <row r="260" ht="13.5" customHeight="1">
      <c r="A260" s="7"/>
    </row>
    <row r="261" ht="13.5" customHeight="1">
      <c r="A261" s="7"/>
    </row>
    <row r="262" ht="13.5" customHeight="1">
      <c r="A262" s="7"/>
    </row>
    <row r="263" ht="13.5" customHeight="1">
      <c r="A263" s="7"/>
    </row>
    <row r="264" ht="13.5" customHeight="1">
      <c r="A264" s="7"/>
    </row>
    <row r="265" ht="13.5" customHeight="1">
      <c r="A265" s="7"/>
    </row>
    <row r="266" ht="13.5" customHeight="1">
      <c r="A266" s="7"/>
    </row>
    <row r="267" ht="13.5" customHeight="1">
      <c r="A267" s="7"/>
    </row>
    <row r="268" ht="13.5" customHeight="1">
      <c r="A268" s="7"/>
    </row>
    <row r="269" ht="13.5" customHeight="1">
      <c r="A269" s="7"/>
    </row>
    <row r="270" ht="13.5" customHeight="1">
      <c r="A270" s="7"/>
    </row>
    <row r="271" ht="13.5" customHeight="1">
      <c r="A271" s="7"/>
    </row>
    <row r="272" ht="13.5" customHeight="1">
      <c r="A272" s="7"/>
    </row>
    <row r="273" ht="13.5" customHeight="1">
      <c r="A273" s="7"/>
    </row>
    <row r="274" ht="13.5" customHeight="1">
      <c r="A274" s="7"/>
    </row>
    <row r="275" ht="13.5" customHeight="1">
      <c r="A275" s="7"/>
    </row>
    <row r="276" ht="13.5" customHeight="1">
      <c r="A276" s="7"/>
    </row>
    <row r="277" ht="13.5" customHeight="1">
      <c r="A277" s="7"/>
    </row>
    <row r="278" ht="13.5" customHeight="1">
      <c r="A278" s="7"/>
    </row>
    <row r="279" ht="13.5" customHeight="1">
      <c r="A279" s="7"/>
    </row>
    <row r="280" ht="13.5" customHeight="1">
      <c r="A280" s="7"/>
    </row>
    <row r="281" ht="13.5" customHeight="1">
      <c r="A281" s="7"/>
    </row>
    <row r="282" ht="13.5" customHeight="1">
      <c r="A282" s="7"/>
    </row>
    <row r="283" ht="13.5" customHeight="1">
      <c r="A283" s="7"/>
    </row>
    <row r="284" ht="13.5" customHeight="1">
      <c r="A284" s="7"/>
    </row>
    <row r="285" ht="13.5" customHeight="1">
      <c r="A285" s="7"/>
    </row>
    <row r="286" ht="13.5" customHeight="1">
      <c r="A286" s="7"/>
    </row>
    <row r="287" ht="13.5" customHeight="1">
      <c r="A287" s="7"/>
      <c r="H287" s="144" t="s">
        <v>356</v>
      </c>
    </row>
    <row r="288" ht="13.5" customHeight="1">
      <c r="A288" s="7"/>
    </row>
    <row r="289" ht="13.5" customHeight="1">
      <c r="A289" s="7"/>
    </row>
    <row r="290" ht="13.5" customHeight="1">
      <c r="A290" s="7"/>
    </row>
    <row r="291" ht="13.5" customHeight="1">
      <c r="A291" s="7"/>
    </row>
    <row r="292" ht="13.5" customHeight="1">
      <c r="A292" s="7"/>
    </row>
    <row r="293" ht="13.5" customHeight="1">
      <c r="A293" s="7"/>
    </row>
    <row r="294" ht="13.5" customHeight="1">
      <c r="A294" s="7"/>
    </row>
    <row r="295" ht="13.5" customHeight="1">
      <c r="A295" s="7"/>
    </row>
    <row r="296" ht="13.5" customHeight="1">
      <c r="A296" s="7"/>
    </row>
    <row r="297" ht="13.5" customHeight="1">
      <c r="A297" s="7"/>
    </row>
    <row r="298" ht="13.5" customHeight="1">
      <c r="A298" s="7"/>
    </row>
    <row r="299" ht="13.5" customHeight="1">
      <c r="A299" s="7"/>
    </row>
    <row r="300" ht="13.5" customHeight="1">
      <c r="A300" s="7"/>
    </row>
    <row r="301" ht="13.5" customHeight="1">
      <c r="A301" s="7"/>
    </row>
    <row r="302" ht="13.5" customHeight="1">
      <c r="A302" s="7"/>
    </row>
    <row r="303" ht="13.5" customHeight="1">
      <c r="A303" s="7"/>
    </row>
    <row r="304" ht="13.5" customHeight="1">
      <c r="A304" s="7"/>
    </row>
    <row r="305" ht="13.5" customHeight="1">
      <c r="A305" s="7"/>
    </row>
    <row r="306" ht="13.5" customHeight="1">
      <c r="A306" s="7"/>
    </row>
    <row r="307" ht="13.5" customHeight="1">
      <c r="A307" s="7"/>
    </row>
    <row r="308" ht="13.5" customHeight="1">
      <c r="A308" s="7"/>
    </row>
    <row r="309" ht="13.5" customHeight="1">
      <c r="A309" s="7"/>
    </row>
    <row r="310" ht="13.5" customHeight="1">
      <c r="A310" s="7"/>
    </row>
    <row r="311" ht="13.5" customHeight="1">
      <c r="A311" s="7"/>
    </row>
    <row r="312" ht="13.5" customHeight="1">
      <c r="A312" s="7"/>
    </row>
    <row r="313" ht="13.5" customHeight="1">
      <c r="A313" s="7"/>
    </row>
    <row r="314" ht="13.5" customHeight="1">
      <c r="A314" s="7"/>
    </row>
    <row r="315" ht="13.5" customHeight="1">
      <c r="A315" s="7"/>
    </row>
    <row r="316" ht="13.5" customHeight="1">
      <c r="A316" s="7"/>
    </row>
    <row r="317" ht="13.5" customHeight="1">
      <c r="A317" s="7"/>
    </row>
    <row r="318" ht="13.5" customHeight="1">
      <c r="A318" s="7"/>
    </row>
    <row r="319" ht="13.5" customHeight="1">
      <c r="A319" s="7"/>
    </row>
    <row r="320" ht="13.5" customHeight="1">
      <c r="A320" s="7"/>
    </row>
    <row r="321" ht="13.5" customHeight="1">
      <c r="A321" s="7"/>
    </row>
    <row r="322" ht="13.5" customHeight="1">
      <c r="A322" s="7"/>
    </row>
    <row r="323" ht="13.5" customHeight="1">
      <c r="A323" s="7"/>
    </row>
    <row r="324" ht="13.5" customHeight="1">
      <c r="A324" s="7"/>
    </row>
    <row r="325" ht="13.5" customHeight="1">
      <c r="A325" s="7"/>
    </row>
    <row r="326" ht="13.5" customHeight="1">
      <c r="A326" s="7"/>
    </row>
    <row r="327" ht="13.5" customHeight="1">
      <c r="A327" s="7"/>
    </row>
    <row r="328" ht="13.5" customHeight="1">
      <c r="A328" s="7"/>
    </row>
    <row r="329" ht="13.5" customHeight="1">
      <c r="A329" s="7"/>
    </row>
    <row r="330" ht="13.5" customHeight="1">
      <c r="A330" s="7"/>
    </row>
    <row r="331" ht="13.5" customHeight="1">
      <c r="A331" s="7"/>
    </row>
    <row r="332" ht="13.5" customHeight="1">
      <c r="A332" s="7"/>
    </row>
    <row r="333" ht="13.5" customHeight="1">
      <c r="A333" s="7"/>
    </row>
    <row r="334" ht="13.5" customHeight="1">
      <c r="A334" s="7"/>
    </row>
    <row r="335" ht="13.5" customHeight="1">
      <c r="A335" s="7"/>
    </row>
    <row r="336" ht="13.5" customHeight="1">
      <c r="A336" s="7"/>
    </row>
    <row r="337" ht="13.5" customHeight="1">
      <c r="A337" s="7"/>
    </row>
    <row r="338" ht="13.5" customHeight="1">
      <c r="A338" s="7"/>
    </row>
    <row r="339" ht="13.5" customHeight="1">
      <c r="A339" s="7"/>
    </row>
    <row r="340" ht="13.5" customHeight="1">
      <c r="A340" s="7"/>
    </row>
    <row r="341" ht="13.5" customHeight="1">
      <c r="A341" s="7"/>
    </row>
    <row r="342" ht="13.5" customHeight="1">
      <c r="A342" s="7"/>
    </row>
    <row r="343" ht="13.5" customHeight="1">
      <c r="A343" s="7"/>
    </row>
    <row r="344" ht="13.5" customHeight="1">
      <c r="A344" s="7"/>
    </row>
    <row r="345" ht="13.5" customHeight="1">
      <c r="A345" s="7"/>
    </row>
    <row r="346" ht="13.5" customHeight="1">
      <c r="A346" s="7"/>
    </row>
    <row r="347" ht="13.5" customHeight="1">
      <c r="A347" s="7"/>
    </row>
    <row r="348" ht="13.5" customHeight="1">
      <c r="A348" s="7"/>
    </row>
    <row r="349" ht="13.5" customHeight="1">
      <c r="A349" s="7"/>
    </row>
    <row r="350" ht="13.5" customHeight="1">
      <c r="A350" s="7"/>
    </row>
    <row r="351" ht="13.5" customHeight="1">
      <c r="A351" s="7"/>
    </row>
    <row r="352" ht="13.5" customHeight="1">
      <c r="A352" s="7"/>
    </row>
    <row r="353" ht="13.5" customHeight="1">
      <c r="A353" s="7"/>
    </row>
    <row r="354" ht="13.5" customHeight="1">
      <c r="A354" s="7"/>
    </row>
    <row r="355" ht="13.5" customHeight="1">
      <c r="A355" s="7"/>
    </row>
    <row r="356" ht="13.5" customHeight="1">
      <c r="A356" s="7"/>
    </row>
    <row r="357" ht="13.5" customHeight="1">
      <c r="A357" s="7"/>
    </row>
    <row r="358" ht="13.5" customHeight="1">
      <c r="A358" s="7"/>
    </row>
    <row r="359" ht="13.5" customHeight="1">
      <c r="A359" s="7"/>
    </row>
    <row r="360" ht="13.5" customHeight="1">
      <c r="A360" s="7"/>
    </row>
    <row r="361" ht="13.5" customHeight="1">
      <c r="A361" s="7"/>
    </row>
    <row r="362" ht="13.5" customHeight="1">
      <c r="A362" s="7"/>
    </row>
    <row r="363" ht="13.5" customHeight="1">
      <c r="A363" s="7"/>
    </row>
    <row r="364" ht="13.5" customHeight="1">
      <c r="A364" s="7"/>
    </row>
    <row r="365" ht="13.5" customHeight="1">
      <c r="A365" s="7"/>
    </row>
    <row r="366" ht="13.5" customHeight="1">
      <c r="A366" s="7"/>
    </row>
    <row r="367" ht="13.5" customHeight="1">
      <c r="A367" s="7"/>
    </row>
    <row r="368" ht="13.5" customHeight="1">
      <c r="A368" s="7"/>
    </row>
    <row r="369" ht="13.5" customHeight="1">
      <c r="A369" s="7"/>
    </row>
    <row r="370" ht="13.5" customHeight="1">
      <c r="A370" s="7"/>
    </row>
    <row r="371" ht="13.5" customHeight="1">
      <c r="A371" s="7"/>
    </row>
    <row r="372" ht="13.5" customHeight="1">
      <c r="A372" s="7"/>
    </row>
    <row r="373" ht="13.5" customHeight="1">
      <c r="A373" s="7"/>
    </row>
    <row r="374" ht="13.5" customHeight="1">
      <c r="A374" s="7"/>
    </row>
    <row r="375" ht="13.5" customHeight="1">
      <c r="A375" s="7"/>
    </row>
    <row r="376" ht="13.5" customHeight="1">
      <c r="A376" s="7"/>
    </row>
    <row r="377" ht="13.5" customHeight="1">
      <c r="A377" s="7"/>
    </row>
    <row r="378" ht="13.5" customHeight="1">
      <c r="A378" s="7"/>
    </row>
    <row r="379" ht="13.5" customHeight="1">
      <c r="A379" s="7"/>
    </row>
    <row r="380" ht="13.5" customHeight="1">
      <c r="A380" s="7"/>
    </row>
    <row r="381" ht="13.5" customHeight="1">
      <c r="A381" s="7"/>
    </row>
    <row r="382" ht="13.5" customHeight="1">
      <c r="A382" s="7"/>
    </row>
    <row r="383" ht="13.5" customHeight="1">
      <c r="A383" s="7"/>
    </row>
    <row r="384" ht="13.5" customHeight="1">
      <c r="A384" s="7"/>
    </row>
    <row r="385" ht="13.5" customHeight="1">
      <c r="A385" s="7"/>
    </row>
    <row r="386" ht="13.5" customHeight="1">
      <c r="A386" s="7"/>
    </row>
    <row r="387" ht="13.5" customHeight="1">
      <c r="A387" s="7"/>
    </row>
    <row r="388" ht="13.5" customHeight="1">
      <c r="A388" s="7"/>
    </row>
    <row r="389" ht="13.5" customHeight="1">
      <c r="A389" s="7"/>
    </row>
    <row r="390" ht="13.5" customHeight="1">
      <c r="A390" s="7"/>
    </row>
    <row r="391" ht="13.5" customHeight="1">
      <c r="A391" s="7"/>
    </row>
    <row r="392" ht="13.5" customHeight="1">
      <c r="A392" s="7"/>
    </row>
    <row r="393" ht="13.5" customHeight="1">
      <c r="A393" s="7"/>
    </row>
    <row r="394" ht="13.5" customHeight="1">
      <c r="A394" s="7"/>
    </row>
    <row r="395" ht="13.5" customHeight="1">
      <c r="A395" s="7"/>
    </row>
    <row r="396" ht="13.5" customHeight="1">
      <c r="A396" s="7"/>
    </row>
    <row r="397" ht="13.5" customHeight="1">
      <c r="A397" s="7"/>
    </row>
    <row r="398" ht="13.5" customHeight="1">
      <c r="A398" s="7"/>
    </row>
    <row r="399" ht="13.5" customHeight="1">
      <c r="A399" s="7"/>
    </row>
    <row r="400" ht="13.5" customHeight="1">
      <c r="A400" s="7"/>
    </row>
    <row r="401" ht="13.5" customHeight="1">
      <c r="A401" s="7"/>
    </row>
    <row r="402" ht="13.5" customHeight="1">
      <c r="A402" s="7"/>
    </row>
    <row r="403" ht="13.5" customHeight="1">
      <c r="A403" s="7"/>
    </row>
    <row r="404" ht="13.5" customHeight="1">
      <c r="A404" s="7"/>
    </row>
    <row r="405" ht="13.5" customHeight="1">
      <c r="A405" s="7"/>
    </row>
    <row r="406" ht="13.5" customHeight="1">
      <c r="A406" s="7"/>
    </row>
    <row r="407" ht="13.5" customHeight="1">
      <c r="A407" s="7"/>
    </row>
    <row r="408" ht="13.5" customHeight="1">
      <c r="A408" s="7"/>
    </row>
    <row r="409" ht="13.5" customHeight="1">
      <c r="A409" s="7"/>
    </row>
    <row r="410" ht="13.5" customHeight="1">
      <c r="A410" s="7"/>
    </row>
    <row r="411" ht="13.5" customHeight="1">
      <c r="A411" s="7"/>
    </row>
    <row r="412" ht="13.5" customHeight="1">
      <c r="A412" s="7"/>
    </row>
    <row r="413" ht="13.5" customHeight="1">
      <c r="A413" s="7"/>
    </row>
    <row r="414" ht="13.5" customHeight="1">
      <c r="A414" s="7"/>
    </row>
    <row r="415" ht="13.5" customHeight="1">
      <c r="A415" s="7"/>
    </row>
    <row r="416" ht="13.5" customHeight="1">
      <c r="A416" s="7"/>
    </row>
    <row r="417" ht="13.5" customHeight="1">
      <c r="A417" s="7"/>
    </row>
    <row r="418" ht="13.5" customHeight="1">
      <c r="A418" s="7"/>
    </row>
    <row r="419" ht="13.5" customHeight="1">
      <c r="A419" s="7"/>
    </row>
    <row r="420" ht="13.5" customHeight="1">
      <c r="A420" s="7"/>
    </row>
    <row r="421" ht="13.5" customHeight="1">
      <c r="A421" s="7"/>
    </row>
    <row r="422" ht="13.5" customHeight="1">
      <c r="A422" s="7"/>
    </row>
    <row r="423" ht="13.5" customHeight="1">
      <c r="A423" s="7"/>
    </row>
    <row r="424" ht="13.5" customHeight="1">
      <c r="A424" s="7"/>
    </row>
    <row r="425" ht="13.5" customHeight="1">
      <c r="A425" s="7"/>
    </row>
    <row r="426" ht="13.5" customHeight="1">
      <c r="A426" s="7"/>
    </row>
    <row r="427" ht="13.5" customHeight="1">
      <c r="A427" s="7"/>
    </row>
    <row r="428" ht="13.5" customHeight="1">
      <c r="A428" s="7"/>
    </row>
    <row r="429" ht="13.5" customHeight="1">
      <c r="A429" s="7"/>
    </row>
    <row r="430" ht="13.5" customHeight="1">
      <c r="A430" s="7"/>
    </row>
    <row r="431" ht="13.5" customHeight="1">
      <c r="A431" s="7"/>
    </row>
    <row r="432" ht="13.5" customHeight="1">
      <c r="A432" s="7"/>
    </row>
    <row r="433" ht="13.5" customHeight="1">
      <c r="A433" s="7"/>
    </row>
    <row r="434" ht="13.5" customHeight="1">
      <c r="A434" s="7"/>
    </row>
    <row r="435" ht="13.5" customHeight="1">
      <c r="A435" s="7"/>
    </row>
    <row r="436" ht="13.5" customHeight="1">
      <c r="A436" s="7"/>
    </row>
    <row r="437" ht="13.5" customHeight="1">
      <c r="A437" s="7"/>
    </row>
    <row r="438" ht="13.5" customHeight="1">
      <c r="A438" s="7"/>
    </row>
    <row r="439" ht="13.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  <row r="1001" ht="15.75" customHeight="1">
      <c r="A1001" s="7"/>
    </row>
    <row r="1002" ht="15.75" customHeight="1">
      <c r="A1002" s="7"/>
    </row>
    <row r="1003" ht="15.75" customHeight="1">
      <c r="A1003" s="7"/>
    </row>
    <row r="1004" ht="15.75" customHeight="1">
      <c r="A1004" s="7"/>
    </row>
    <row r="1005" ht="15.75" customHeight="1">
      <c r="A1005" s="7"/>
    </row>
    <row r="1006" ht="15.75" customHeight="1">
      <c r="A1006" s="7"/>
    </row>
    <row r="1007" ht="15.75" customHeight="1">
      <c r="A1007" s="7"/>
    </row>
    <row r="1008" ht="15.75" customHeight="1">
      <c r="A1008" s="7"/>
    </row>
    <row r="1009" ht="15.75" customHeight="1">
      <c r="A1009" s="7"/>
    </row>
    <row r="1010" ht="15.75" customHeight="1">
      <c r="A1010" s="7"/>
    </row>
    <row r="1011" ht="15.75" customHeight="1">
      <c r="A1011" s="7"/>
    </row>
    <row r="1012" ht="15.75" customHeight="1">
      <c r="A1012" s="7"/>
    </row>
    <row r="1013" ht="15.75" customHeight="1">
      <c r="A1013" s="7"/>
    </row>
    <row r="1014" ht="15.75" customHeight="1">
      <c r="A1014" s="7"/>
    </row>
    <row r="1015" ht="15.75" customHeight="1">
      <c r="A1015" s="7"/>
    </row>
    <row r="1016" ht="15.75" customHeight="1">
      <c r="A1016" s="7"/>
    </row>
    <row r="1017" ht="15.75" customHeight="1">
      <c r="A1017" s="7"/>
    </row>
    <row r="1018" ht="15.75" customHeight="1">
      <c r="A1018" s="7"/>
    </row>
    <row r="1019" ht="15.75" customHeight="1">
      <c r="A1019" s="7"/>
    </row>
    <row r="1020" ht="15.75" customHeight="1">
      <c r="A1020" s="7"/>
    </row>
    <row r="1021" ht="15.75" customHeight="1">
      <c r="A1021" s="7"/>
    </row>
    <row r="1022" ht="15.75" customHeight="1">
      <c r="A1022" s="7"/>
    </row>
    <row r="1023" ht="15.75" customHeight="1">
      <c r="A1023" s="7"/>
    </row>
    <row r="1024" ht="15.75" customHeight="1">
      <c r="A1024" s="7"/>
    </row>
    <row r="1025" ht="15.75" customHeight="1">
      <c r="A1025" s="7"/>
    </row>
    <row r="1026" ht="15.75" customHeight="1">
      <c r="A1026" s="7"/>
    </row>
    <row r="1027" ht="15.75" customHeight="1">
      <c r="A1027" s="7"/>
    </row>
    <row r="1028" ht="15.75" customHeight="1">
      <c r="A1028" s="7"/>
    </row>
    <row r="1029" ht="15.75" customHeight="1">
      <c r="A1029" s="7"/>
    </row>
    <row r="1030" ht="15.75" customHeight="1">
      <c r="A1030" s="7"/>
    </row>
    <row r="1031" ht="15.75" customHeight="1">
      <c r="A1031" s="7"/>
    </row>
    <row r="1032" ht="15.75" customHeight="1">
      <c r="A1032" s="7"/>
    </row>
    <row r="1033" ht="15.75" customHeight="1">
      <c r="A1033" s="7"/>
    </row>
    <row r="1034" ht="15.75" customHeight="1">
      <c r="A1034" s="7"/>
    </row>
    <row r="1035" ht="15.75" customHeight="1">
      <c r="A1035" s="7"/>
    </row>
    <row r="1036" ht="15.75" customHeight="1">
      <c r="A1036" s="7"/>
    </row>
    <row r="1037" ht="15.75" customHeight="1">
      <c r="A1037" s="7"/>
    </row>
    <row r="1038" ht="15.75" customHeight="1">
      <c r="A1038" s="7"/>
    </row>
    <row r="1039" ht="15.75" customHeight="1">
      <c r="A1039" s="7"/>
    </row>
    <row r="1040" ht="15.75" customHeight="1">
      <c r="A1040" s="7"/>
    </row>
    <row r="1041" ht="15.75" customHeight="1">
      <c r="A1041" s="7"/>
    </row>
    <row r="1042" ht="15.75" customHeight="1">
      <c r="A1042" s="7"/>
    </row>
    <row r="1043" ht="15.75" customHeight="1">
      <c r="A1043" s="7"/>
    </row>
    <row r="1044" ht="15.75" customHeight="1">
      <c r="A1044" s="7"/>
    </row>
    <row r="1045" ht="15.75" customHeight="1">
      <c r="A1045" s="7"/>
    </row>
  </sheetData>
  <mergeCells count="2">
    <mergeCell ref="A1:F1"/>
    <mergeCell ref="C234:E234"/>
  </mergeCells>
  <conditionalFormatting sqref="F236:F254">
    <cfRule type="cellIs" dxfId="0" priority="1" operator="lessThan">
      <formula>3</formula>
    </cfRule>
  </conditionalFormatting>
  <conditionalFormatting sqref="F236:F254">
    <cfRule type="cellIs" dxfId="1" priority="2" operator="equal">
      <formula>3</formula>
    </cfRule>
  </conditionalFormatting>
  <conditionalFormatting sqref="F236:F254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53.86"/>
    <col customWidth="1" min="3" max="3" width="43.57"/>
    <col customWidth="1" min="4" max="4" width="18.71"/>
    <col customWidth="1" min="5" max="5" width="11.14"/>
    <col customWidth="1" min="6" max="6" width="27.0"/>
    <col customWidth="1" min="7" max="7" width="10.57"/>
    <col customWidth="1" min="8" max="8" width="11.43"/>
    <col customWidth="1" min="9" max="9" width="16.43"/>
    <col customWidth="1" min="10" max="10" width="22.71"/>
    <col customWidth="1" min="11" max="11" width="26.86"/>
    <col customWidth="1" min="12" max="12" width="31.14"/>
    <col customWidth="1" min="13" max="15" width="11.14"/>
    <col customWidth="1" min="16" max="16" width="20.57"/>
    <col customWidth="1" min="17" max="17" width="28.29"/>
    <col customWidth="1" min="18" max="18" width="77.57"/>
    <col customWidth="1" min="19" max="29" width="11.14"/>
  </cols>
  <sheetData>
    <row r="1">
      <c r="A1" s="2" t="s">
        <v>1</v>
      </c>
      <c r="B1" s="4"/>
      <c r="C1" s="4"/>
      <c r="D1" s="4"/>
      <c r="E1" s="4"/>
      <c r="F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1"/>
      <c r="B2" s="12" t="s">
        <v>2</v>
      </c>
      <c r="C2" s="14" t="s">
        <v>3</v>
      </c>
      <c r="D2" s="13" t="s">
        <v>4</v>
      </c>
      <c r="E2" s="13" t="s">
        <v>5</v>
      </c>
      <c r="F2" s="13" t="s">
        <v>6</v>
      </c>
      <c r="H2" s="1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9"/>
      <c r="AA2" s="9"/>
      <c r="AB2" s="9"/>
      <c r="AC2" s="9"/>
    </row>
    <row r="3" ht="13.5" customHeight="1">
      <c r="B3" s="21" t="s">
        <v>8</v>
      </c>
      <c r="C3" s="25"/>
      <c r="D3" s="25"/>
      <c r="E3" s="25"/>
      <c r="F3" s="25"/>
    </row>
    <row r="4" ht="13.5" customHeight="1">
      <c r="B4" s="28" t="s">
        <v>12</v>
      </c>
      <c r="C4" s="33" t="s">
        <v>14</v>
      </c>
      <c r="D4" s="34" t="s">
        <v>16</v>
      </c>
      <c r="E4" s="36">
        <v>5.0</v>
      </c>
      <c r="F4" s="36"/>
    </row>
    <row r="5" ht="13.5" customHeight="1">
      <c r="B5" s="28" t="s">
        <v>18</v>
      </c>
      <c r="C5" s="37" t="s">
        <v>21</v>
      </c>
      <c r="D5" s="34" t="s">
        <v>23</v>
      </c>
      <c r="E5" s="36">
        <v>6.0</v>
      </c>
      <c r="F5" s="36"/>
    </row>
    <row r="6" ht="13.5" customHeight="1">
      <c r="B6" s="28" t="s">
        <v>27</v>
      </c>
      <c r="C6" s="38" t="s">
        <v>29</v>
      </c>
      <c r="D6" s="34" t="s">
        <v>16</v>
      </c>
      <c r="E6" s="36">
        <v>4.0</v>
      </c>
      <c r="F6" s="36"/>
    </row>
    <row r="7" ht="13.5" customHeight="1">
      <c r="B7" s="28" t="s">
        <v>32</v>
      </c>
      <c r="C7" s="37" t="s">
        <v>33</v>
      </c>
      <c r="D7" s="34" t="s">
        <v>16</v>
      </c>
      <c r="E7" s="36">
        <v>5.0</v>
      </c>
      <c r="F7" s="36"/>
    </row>
    <row r="8" ht="13.5" customHeight="1">
      <c r="B8" s="28" t="s">
        <v>37</v>
      </c>
      <c r="C8" s="43" t="s">
        <v>39</v>
      </c>
      <c r="D8" s="34" t="s">
        <v>16</v>
      </c>
      <c r="E8" s="36">
        <v>4.0</v>
      </c>
      <c r="F8" s="36"/>
    </row>
    <row r="9" ht="13.5" customHeight="1">
      <c r="B9" s="45"/>
      <c r="C9" s="46"/>
      <c r="D9" s="45"/>
      <c r="E9" s="45"/>
      <c r="F9" s="45"/>
    </row>
    <row r="10" ht="13.5" customHeight="1">
      <c r="B10" s="21" t="s">
        <v>47</v>
      </c>
      <c r="C10" s="48"/>
      <c r="D10" s="25"/>
      <c r="E10" s="25"/>
      <c r="F10" s="25"/>
    </row>
    <row r="11" ht="13.5" customHeight="1">
      <c r="B11" s="28" t="s">
        <v>12</v>
      </c>
      <c r="C11" s="37" t="s">
        <v>51</v>
      </c>
      <c r="D11" s="34" t="s">
        <v>16</v>
      </c>
      <c r="E11" s="36">
        <v>5.0</v>
      </c>
      <c r="F11" s="36"/>
    </row>
    <row r="12" ht="13.5" customHeight="1">
      <c r="B12" s="28" t="s">
        <v>18</v>
      </c>
      <c r="C12" s="37" t="s">
        <v>21</v>
      </c>
      <c r="D12" s="34" t="s">
        <v>23</v>
      </c>
      <c r="E12" s="36">
        <v>6.0</v>
      </c>
      <c r="F12" s="36"/>
    </row>
    <row r="13" ht="13.5" customHeight="1">
      <c r="B13" s="44" t="s">
        <v>27</v>
      </c>
      <c r="C13" s="44" t="s">
        <v>55</v>
      </c>
      <c r="D13" s="34" t="s">
        <v>56</v>
      </c>
      <c r="E13" s="36">
        <v>4.0</v>
      </c>
      <c r="F13" s="36"/>
    </row>
    <row r="14" ht="13.5" customHeight="1">
      <c r="B14" s="28" t="s">
        <v>32</v>
      </c>
      <c r="C14" s="37" t="s">
        <v>33</v>
      </c>
      <c r="D14" s="34" t="s">
        <v>16</v>
      </c>
      <c r="E14" s="36">
        <v>5.0</v>
      </c>
      <c r="F14" s="36"/>
    </row>
    <row r="15" ht="13.5" customHeight="1">
      <c r="B15" s="28" t="s">
        <v>37</v>
      </c>
      <c r="C15" s="43" t="s">
        <v>39</v>
      </c>
      <c r="D15" s="34" t="s">
        <v>16</v>
      </c>
      <c r="E15" s="36">
        <v>4.0</v>
      </c>
      <c r="F15" s="36"/>
    </row>
    <row r="16" ht="13.5" customHeight="1">
      <c r="B16" s="45"/>
      <c r="C16" s="46"/>
      <c r="D16" s="45"/>
      <c r="E16" s="45"/>
      <c r="F16" s="45"/>
    </row>
    <row r="17" ht="13.5" customHeight="1">
      <c r="B17" s="21" t="s">
        <v>61</v>
      </c>
      <c r="C17" s="48"/>
      <c r="D17" s="25"/>
      <c r="E17" s="25"/>
      <c r="F17" s="25"/>
    </row>
    <row r="18" ht="13.5" customHeight="1">
      <c r="B18" s="28" t="s">
        <v>12</v>
      </c>
      <c r="C18" s="37" t="s">
        <v>51</v>
      </c>
      <c r="D18" s="34" t="s">
        <v>16</v>
      </c>
      <c r="E18" s="36">
        <v>5.0</v>
      </c>
      <c r="F18" s="36"/>
    </row>
    <row r="19" ht="13.5" customHeight="1">
      <c r="B19" s="28" t="s">
        <v>18</v>
      </c>
      <c r="C19" s="38" t="s">
        <v>21</v>
      </c>
      <c r="D19" s="34" t="s">
        <v>23</v>
      </c>
      <c r="E19" s="36">
        <v>6.0</v>
      </c>
      <c r="F19" s="36"/>
    </row>
    <row r="20" ht="13.5" customHeight="1">
      <c r="B20" s="44" t="s">
        <v>27</v>
      </c>
      <c r="C20" s="44" t="s">
        <v>55</v>
      </c>
      <c r="D20" s="34" t="s">
        <v>56</v>
      </c>
      <c r="E20" s="36">
        <v>4.0</v>
      </c>
      <c r="F20" s="36"/>
    </row>
    <row r="21" ht="13.5" customHeight="1">
      <c r="B21" s="28" t="s">
        <v>32</v>
      </c>
      <c r="C21" s="55" t="s">
        <v>67</v>
      </c>
      <c r="D21" s="34" t="s">
        <v>16</v>
      </c>
      <c r="E21" s="36">
        <v>5.0</v>
      </c>
      <c r="F21" s="36"/>
    </row>
    <row r="22" ht="13.5" customHeight="1">
      <c r="B22" s="28" t="s">
        <v>37</v>
      </c>
      <c r="C22" s="56" t="s">
        <v>70</v>
      </c>
      <c r="D22" s="34" t="s">
        <v>16</v>
      </c>
      <c r="E22" s="36">
        <v>4.0</v>
      </c>
      <c r="F22" s="36"/>
    </row>
    <row r="23" ht="13.5" customHeight="1">
      <c r="B23" s="45"/>
      <c r="C23" s="46"/>
      <c r="D23" s="45"/>
      <c r="E23" s="45"/>
      <c r="F23" s="45"/>
    </row>
    <row r="24" ht="13.5" customHeight="1">
      <c r="B24" s="21" t="s">
        <v>72</v>
      </c>
      <c r="C24" s="48"/>
      <c r="D24" s="25"/>
      <c r="E24" s="25"/>
      <c r="F24" s="25"/>
    </row>
    <row r="25" ht="13.5" customHeight="1">
      <c r="B25" s="28" t="s">
        <v>12</v>
      </c>
      <c r="C25" s="38" t="s">
        <v>74</v>
      </c>
      <c r="D25" s="34" t="s">
        <v>16</v>
      </c>
      <c r="E25" s="36">
        <v>5.0</v>
      </c>
      <c r="F25" s="36"/>
    </row>
    <row r="26" ht="13.5" customHeight="1">
      <c r="B26" s="28" t="s">
        <v>18</v>
      </c>
      <c r="C26" s="37" t="s">
        <v>78</v>
      </c>
      <c r="D26" s="34" t="s">
        <v>23</v>
      </c>
      <c r="E26" s="36">
        <v>6.0</v>
      </c>
      <c r="F26" s="36"/>
    </row>
    <row r="27" ht="13.5" customHeight="1">
      <c r="B27" s="44" t="s">
        <v>27</v>
      </c>
      <c r="C27" s="38" t="s">
        <v>79</v>
      </c>
      <c r="D27" s="34" t="s">
        <v>41</v>
      </c>
      <c r="E27" s="36">
        <v>4.0</v>
      </c>
      <c r="F27" s="34" t="s">
        <v>80</v>
      </c>
    </row>
    <row r="28" ht="13.5" customHeight="1">
      <c r="B28" s="28" t="s">
        <v>32</v>
      </c>
      <c r="C28" s="55" t="s">
        <v>67</v>
      </c>
      <c r="D28" s="34" t="s">
        <v>16</v>
      </c>
      <c r="E28" s="36">
        <v>5.0</v>
      </c>
      <c r="F28" s="36"/>
    </row>
    <row r="29" ht="13.5" customHeight="1">
      <c r="B29" s="28" t="s">
        <v>37</v>
      </c>
      <c r="C29" s="58"/>
      <c r="D29" s="36"/>
      <c r="E29" s="36">
        <v>4.0</v>
      </c>
      <c r="F29" s="36"/>
    </row>
    <row r="30" ht="13.5" customHeight="1">
      <c r="B30" s="45"/>
      <c r="C30" s="46"/>
      <c r="D30" s="45"/>
      <c r="E30" s="45"/>
      <c r="F30" s="45"/>
    </row>
    <row r="31" ht="13.5" customHeight="1">
      <c r="B31" s="21" t="s">
        <v>85</v>
      </c>
      <c r="C31" s="48"/>
      <c r="D31" s="25"/>
      <c r="E31" s="25"/>
      <c r="F31" s="25"/>
    </row>
    <row r="32" ht="13.5" customHeight="1">
      <c r="B32" s="28" t="s">
        <v>12</v>
      </c>
      <c r="C32" s="38" t="s">
        <v>87</v>
      </c>
      <c r="D32" s="34" t="s">
        <v>16</v>
      </c>
      <c r="E32" s="36">
        <v>5.0</v>
      </c>
      <c r="F32" s="36"/>
    </row>
    <row r="33" ht="13.5" customHeight="1">
      <c r="B33" s="28" t="s">
        <v>18</v>
      </c>
      <c r="C33" s="37" t="s">
        <v>78</v>
      </c>
      <c r="D33" s="34" t="s">
        <v>23</v>
      </c>
      <c r="E33" s="36">
        <v>6.0</v>
      </c>
      <c r="F33" s="36"/>
    </row>
    <row r="34" ht="13.5" customHeight="1">
      <c r="B34" s="44" t="s">
        <v>27</v>
      </c>
      <c r="C34" s="38" t="s">
        <v>90</v>
      </c>
      <c r="D34" s="34" t="s">
        <v>41</v>
      </c>
      <c r="E34" s="36">
        <v>4.0</v>
      </c>
      <c r="F34" s="34" t="s">
        <v>80</v>
      </c>
    </row>
    <row r="35" ht="13.5" customHeight="1">
      <c r="B35" s="28" t="s">
        <v>32</v>
      </c>
      <c r="C35" s="63" t="s">
        <v>92</v>
      </c>
      <c r="D35" s="34" t="s">
        <v>16</v>
      </c>
      <c r="E35" s="36">
        <v>5.0</v>
      </c>
      <c r="F35" s="36"/>
    </row>
    <row r="36" ht="13.5" customHeight="1">
      <c r="B36" s="28" t="s">
        <v>37</v>
      </c>
      <c r="C36" s="43" t="s">
        <v>97</v>
      </c>
      <c r="D36" s="34" t="s">
        <v>16</v>
      </c>
      <c r="E36" s="36">
        <v>4.0</v>
      </c>
      <c r="F36" s="36"/>
    </row>
    <row r="37" ht="13.5" customHeight="1">
      <c r="B37" s="45"/>
      <c r="C37" s="46"/>
      <c r="D37" s="45"/>
      <c r="E37" s="45"/>
      <c r="F37" s="45"/>
    </row>
    <row r="38" ht="13.5" customHeight="1">
      <c r="B38" s="21" t="s">
        <v>102</v>
      </c>
      <c r="C38" s="48"/>
      <c r="D38" s="25"/>
      <c r="E38" s="25"/>
      <c r="F38" s="25"/>
    </row>
    <row r="39" ht="13.5" customHeight="1">
      <c r="B39" s="28" t="s">
        <v>12</v>
      </c>
      <c r="C39" s="38" t="s">
        <v>87</v>
      </c>
      <c r="D39" s="34" t="s">
        <v>16</v>
      </c>
      <c r="E39" s="36">
        <v>5.0</v>
      </c>
      <c r="F39" s="36"/>
    </row>
    <row r="40" ht="13.5" customHeight="1">
      <c r="B40" s="28" t="s">
        <v>18</v>
      </c>
      <c r="C40" s="68" t="s">
        <v>53</v>
      </c>
      <c r="D40" s="34" t="s">
        <v>23</v>
      </c>
      <c r="E40" s="36">
        <v>6.0</v>
      </c>
      <c r="F40" s="36"/>
    </row>
    <row r="41" ht="13.5" customHeight="1">
      <c r="B41" s="44" t="s">
        <v>27</v>
      </c>
      <c r="C41" s="44" t="s">
        <v>109</v>
      </c>
      <c r="D41" s="34" t="s">
        <v>41</v>
      </c>
      <c r="E41" s="36">
        <v>4.0</v>
      </c>
      <c r="F41" s="36"/>
    </row>
    <row r="42" ht="13.5" customHeight="1">
      <c r="B42" s="28" t="s">
        <v>32</v>
      </c>
      <c r="C42" s="63" t="s">
        <v>92</v>
      </c>
      <c r="D42" s="34" t="s">
        <v>16</v>
      </c>
      <c r="E42" s="36">
        <v>5.0</v>
      </c>
      <c r="F42" s="36"/>
    </row>
    <row r="43" ht="13.5" customHeight="1">
      <c r="B43" s="28" t="s">
        <v>37</v>
      </c>
      <c r="C43" s="43" t="s">
        <v>97</v>
      </c>
      <c r="D43" s="34" t="s">
        <v>16</v>
      </c>
      <c r="E43" s="36">
        <v>4.0</v>
      </c>
      <c r="F43" s="36"/>
    </row>
    <row r="44" ht="13.5" customHeight="1">
      <c r="B44" s="45"/>
      <c r="C44" s="46"/>
      <c r="D44" s="45"/>
      <c r="E44" s="45"/>
      <c r="F44" s="45"/>
    </row>
    <row r="45" ht="13.5" customHeight="1">
      <c r="B45" s="21" t="s">
        <v>115</v>
      </c>
      <c r="C45" s="48"/>
      <c r="D45" s="25"/>
      <c r="E45" s="25"/>
      <c r="F45" s="25"/>
    </row>
    <row r="46" ht="13.5" customHeight="1">
      <c r="B46" s="28" t="s">
        <v>12</v>
      </c>
      <c r="C46" s="33" t="s">
        <v>14</v>
      </c>
      <c r="D46" s="34" t="s">
        <v>16</v>
      </c>
      <c r="E46" s="36">
        <v>5.0</v>
      </c>
      <c r="F46" s="36"/>
    </row>
    <row r="47" ht="13.5" customHeight="1">
      <c r="B47" s="28" t="s">
        <v>18</v>
      </c>
      <c r="C47" s="68" t="s">
        <v>53</v>
      </c>
      <c r="D47" s="34" t="s">
        <v>23</v>
      </c>
      <c r="E47" s="36">
        <v>6.0</v>
      </c>
      <c r="F47" s="36"/>
    </row>
    <row r="48" ht="13.5" customHeight="1">
      <c r="B48" s="44" t="s">
        <v>27</v>
      </c>
      <c r="C48" s="44" t="s">
        <v>109</v>
      </c>
      <c r="D48" s="34" t="s">
        <v>41</v>
      </c>
      <c r="E48" s="36">
        <v>4.0</v>
      </c>
      <c r="F48" s="36"/>
    </row>
    <row r="49" ht="13.5" customHeight="1">
      <c r="B49" s="28" t="s">
        <v>32</v>
      </c>
      <c r="C49" s="63" t="s">
        <v>92</v>
      </c>
      <c r="D49" s="34" t="s">
        <v>16</v>
      </c>
      <c r="E49" s="36">
        <v>5.0</v>
      </c>
      <c r="F49" s="36"/>
    </row>
    <row r="50" ht="13.5" customHeight="1">
      <c r="B50" s="28" t="s">
        <v>37</v>
      </c>
      <c r="C50" s="43" t="s">
        <v>97</v>
      </c>
      <c r="D50" s="34" t="s">
        <v>16</v>
      </c>
      <c r="E50" s="36">
        <v>4.0</v>
      </c>
      <c r="F50" s="36"/>
    </row>
    <row r="51" ht="13.5" customHeight="1">
      <c r="B51" s="45"/>
      <c r="C51" s="46"/>
      <c r="D51" s="45"/>
      <c r="E51" s="45"/>
      <c r="F51" s="45"/>
    </row>
    <row r="52" ht="13.5" customHeight="1">
      <c r="B52" s="21" t="s">
        <v>122</v>
      </c>
      <c r="C52" s="48"/>
      <c r="D52" s="25"/>
      <c r="E52" s="25"/>
      <c r="F52" s="25"/>
    </row>
    <row r="53" ht="13.5" customHeight="1">
      <c r="B53" s="28" t="s">
        <v>12</v>
      </c>
      <c r="C53" s="38" t="s">
        <v>125</v>
      </c>
      <c r="D53" s="34" t="s">
        <v>16</v>
      </c>
      <c r="E53" s="36">
        <v>5.0</v>
      </c>
      <c r="F53" s="36"/>
    </row>
    <row r="54" ht="13.5" customHeight="1">
      <c r="B54" s="28" t="s">
        <v>18</v>
      </c>
      <c r="C54" s="37" t="s">
        <v>127</v>
      </c>
      <c r="D54" s="34" t="s">
        <v>23</v>
      </c>
      <c r="E54" s="36">
        <v>6.0</v>
      </c>
      <c r="F54" s="36"/>
    </row>
    <row r="55" ht="13.5" customHeight="1">
      <c r="B55" s="44" t="s">
        <v>27</v>
      </c>
      <c r="C55" s="44" t="s">
        <v>128</v>
      </c>
      <c r="D55" s="34" t="s">
        <v>41</v>
      </c>
      <c r="E55" s="36">
        <v>4.0</v>
      </c>
      <c r="F55" s="36"/>
    </row>
    <row r="56" ht="13.5" customHeight="1">
      <c r="B56" s="28" t="s">
        <v>32</v>
      </c>
      <c r="C56" s="55" t="s">
        <v>67</v>
      </c>
      <c r="D56" s="34" t="s">
        <v>16</v>
      </c>
      <c r="E56" s="36">
        <v>5.0</v>
      </c>
      <c r="F56" s="36"/>
    </row>
    <row r="57" ht="13.5" customHeight="1">
      <c r="B57" s="28" t="s">
        <v>37</v>
      </c>
      <c r="C57" s="43" t="s">
        <v>97</v>
      </c>
      <c r="D57" s="34" t="s">
        <v>16</v>
      </c>
      <c r="E57" s="36">
        <v>4.0</v>
      </c>
      <c r="F57" s="36"/>
    </row>
    <row r="58" ht="13.5" customHeight="1">
      <c r="B58" s="45"/>
      <c r="C58" s="46"/>
      <c r="D58" s="45"/>
      <c r="E58" s="45"/>
      <c r="F58" s="45"/>
    </row>
    <row r="59" ht="13.5" customHeight="1">
      <c r="B59" s="21" t="s">
        <v>131</v>
      </c>
      <c r="C59" s="48"/>
      <c r="D59" s="25"/>
      <c r="E59" s="25"/>
      <c r="F59" s="25"/>
    </row>
    <row r="60" ht="13.5" customHeight="1">
      <c r="B60" s="28" t="s">
        <v>12</v>
      </c>
      <c r="C60" s="38" t="s">
        <v>125</v>
      </c>
      <c r="D60" s="34" t="s">
        <v>16</v>
      </c>
      <c r="E60" s="36">
        <v>5.0</v>
      </c>
      <c r="F60" s="36"/>
    </row>
    <row r="61" ht="13.5" customHeight="1">
      <c r="B61" s="28" t="s">
        <v>18</v>
      </c>
      <c r="C61" s="37" t="s">
        <v>127</v>
      </c>
      <c r="D61" s="34" t="s">
        <v>23</v>
      </c>
      <c r="E61" s="36">
        <v>6.0</v>
      </c>
      <c r="F61" s="36"/>
    </row>
    <row r="62" ht="13.5" customHeight="1">
      <c r="B62" s="44" t="s">
        <v>27</v>
      </c>
      <c r="C62" s="44" t="s">
        <v>128</v>
      </c>
      <c r="D62" s="34" t="s">
        <v>41</v>
      </c>
      <c r="E62" s="36">
        <v>4.0</v>
      </c>
      <c r="F62" s="36"/>
    </row>
    <row r="63" ht="13.5" customHeight="1">
      <c r="B63" s="28" t="s">
        <v>32</v>
      </c>
      <c r="C63" s="76"/>
      <c r="D63" s="36"/>
      <c r="E63" s="36">
        <v>5.0</v>
      </c>
      <c r="F63" s="36"/>
    </row>
    <row r="64" ht="13.5" customHeight="1">
      <c r="B64" s="28" t="s">
        <v>37</v>
      </c>
      <c r="C64" s="77"/>
      <c r="D64" s="36"/>
      <c r="E64" s="36">
        <v>4.0</v>
      </c>
      <c r="F64" s="36"/>
    </row>
    <row r="65" ht="13.5" customHeight="1">
      <c r="B65" s="45"/>
      <c r="C65" s="46"/>
      <c r="D65" s="45"/>
      <c r="E65" s="45"/>
      <c r="F65" s="45"/>
    </row>
    <row r="66" ht="13.5" customHeight="1">
      <c r="B66" s="21" t="s">
        <v>143</v>
      </c>
      <c r="C66" s="46"/>
      <c r="D66" s="45"/>
      <c r="E66" s="45"/>
      <c r="F66" s="45"/>
    </row>
    <row r="67" ht="13.5" customHeight="1">
      <c r="B67" s="28" t="s">
        <v>12</v>
      </c>
      <c r="C67" s="63" t="s">
        <v>146</v>
      </c>
      <c r="D67" s="34" t="s">
        <v>16</v>
      </c>
      <c r="E67" s="36">
        <v>5.0</v>
      </c>
      <c r="F67" s="36"/>
    </row>
    <row r="68" ht="13.5" customHeight="1">
      <c r="B68" s="28" t="s">
        <v>18</v>
      </c>
      <c r="C68" s="37" t="s">
        <v>78</v>
      </c>
      <c r="D68" s="34" t="s">
        <v>23</v>
      </c>
      <c r="E68" s="36">
        <v>6.0</v>
      </c>
      <c r="F68" s="36"/>
    </row>
    <row r="69" ht="13.5" customHeight="1">
      <c r="B69" s="44" t="s">
        <v>27</v>
      </c>
      <c r="C69" s="44" t="s">
        <v>148</v>
      </c>
      <c r="D69" s="34" t="s">
        <v>58</v>
      </c>
      <c r="E69" s="36">
        <v>4.0</v>
      </c>
      <c r="F69" s="36"/>
    </row>
    <row r="70" ht="13.5" customHeight="1">
      <c r="B70" s="28" t="s">
        <v>32</v>
      </c>
      <c r="C70" s="76"/>
      <c r="D70" s="36"/>
      <c r="E70" s="36">
        <v>5.0</v>
      </c>
      <c r="F70" s="36"/>
    </row>
    <row r="71" ht="13.5" customHeight="1">
      <c r="B71" s="28" t="s">
        <v>37</v>
      </c>
      <c r="C71" s="77"/>
      <c r="D71" s="36"/>
      <c r="E71" s="36">
        <v>4.0</v>
      </c>
      <c r="F71" s="36"/>
    </row>
    <row r="72" ht="13.5" customHeight="1">
      <c r="B72" s="45"/>
      <c r="C72" s="46"/>
      <c r="D72" s="45"/>
      <c r="E72" s="45"/>
      <c r="F72" s="45"/>
    </row>
    <row r="73" ht="13.5" customHeight="1">
      <c r="B73" s="21" t="s">
        <v>150</v>
      </c>
      <c r="C73" s="46"/>
      <c r="D73" s="45"/>
      <c r="E73" s="45"/>
      <c r="F73" s="45"/>
    </row>
    <row r="74" ht="13.5" customHeight="1">
      <c r="B74" s="28" t="s">
        <v>12</v>
      </c>
      <c r="C74" s="63" t="s">
        <v>146</v>
      </c>
      <c r="D74" s="34" t="s">
        <v>16</v>
      </c>
      <c r="E74" s="36">
        <v>5.0</v>
      </c>
      <c r="F74" s="36"/>
    </row>
    <row r="75" ht="13.5" customHeight="1">
      <c r="B75" s="28" t="s">
        <v>18</v>
      </c>
      <c r="C75" s="40" t="s">
        <v>59</v>
      </c>
      <c r="D75" s="34" t="s">
        <v>23</v>
      </c>
      <c r="E75" s="36">
        <v>6.0</v>
      </c>
      <c r="F75" s="36"/>
    </row>
    <row r="76" ht="13.5" customHeight="1">
      <c r="B76" s="44" t="s">
        <v>27</v>
      </c>
      <c r="C76" s="44" t="s">
        <v>148</v>
      </c>
      <c r="D76" s="34" t="s">
        <v>58</v>
      </c>
      <c r="E76" s="36">
        <v>4.0</v>
      </c>
      <c r="F76" s="36"/>
    </row>
    <row r="77" ht="13.5" customHeight="1">
      <c r="B77" s="28" t="s">
        <v>32</v>
      </c>
      <c r="C77" s="76"/>
      <c r="D77" s="36"/>
      <c r="E77" s="36">
        <v>5.0</v>
      </c>
      <c r="F77" s="36"/>
    </row>
    <row r="78" ht="13.5" customHeight="1">
      <c r="B78" s="28" t="s">
        <v>37</v>
      </c>
      <c r="C78" s="77"/>
      <c r="D78" s="36"/>
      <c r="E78" s="36">
        <v>4.0</v>
      </c>
      <c r="F78" s="36"/>
    </row>
    <row r="79" ht="13.5" customHeight="1">
      <c r="B79" s="80"/>
      <c r="C79" s="46"/>
      <c r="D79" s="45"/>
      <c r="E79" s="45"/>
      <c r="F79" s="45"/>
    </row>
    <row r="80" ht="13.5" customHeight="1">
      <c r="B80" s="21" t="s">
        <v>155</v>
      </c>
      <c r="C80" s="48"/>
      <c r="D80" s="25"/>
      <c r="E80" s="25"/>
      <c r="F80" s="25"/>
    </row>
    <row r="81" ht="13.5" customHeight="1">
      <c r="B81" s="28" t="s">
        <v>156</v>
      </c>
      <c r="C81" s="81" t="s">
        <v>158</v>
      </c>
      <c r="D81" s="34" t="s">
        <v>16</v>
      </c>
      <c r="E81" s="36">
        <v>6.0</v>
      </c>
      <c r="F81" s="36">
        <v>31.0</v>
      </c>
    </row>
    <row r="82" ht="13.5" customHeight="1">
      <c r="B82" s="28" t="s">
        <v>161</v>
      </c>
      <c r="C82" s="83" t="s">
        <v>14</v>
      </c>
      <c r="D82" s="34" t="s">
        <v>16</v>
      </c>
      <c r="E82" s="36">
        <v>5.0</v>
      </c>
      <c r="F82" s="36">
        <v>31.0</v>
      </c>
    </row>
    <row r="83" ht="13.5" customHeight="1">
      <c r="B83" s="28" t="s">
        <v>162</v>
      </c>
      <c r="C83" s="37" t="s">
        <v>163</v>
      </c>
      <c r="D83" s="34" t="s">
        <v>16</v>
      </c>
      <c r="E83" s="36">
        <v>5.0</v>
      </c>
      <c r="F83" s="36">
        <v>31.0</v>
      </c>
    </row>
    <row r="84" ht="13.5" customHeight="1">
      <c r="B84" s="28" t="s">
        <v>141</v>
      </c>
      <c r="C84" s="37" t="s">
        <v>74</v>
      </c>
      <c r="D84" s="34" t="s">
        <v>16</v>
      </c>
      <c r="E84" s="36">
        <v>5.0</v>
      </c>
      <c r="F84" s="36">
        <v>31.0</v>
      </c>
    </row>
    <row r="85" ht="13.5" customHeight="1">
      <c r="B85" s="28" t="s">
        <v>167</v>
      </c>
      <c r="C85" s="1" t="s">
        <v>147</v>
      </c>
      <c r="D85" s="34" t="s">
        <v>15</v>
      </c>
      <c r="E85" s="36">
        <v>5.0</v>
      </c>
      <c r="F85" s="36">
        <v>31.0</v>
      </c>
    </row>
    <row r="86" ht="13.5" customHeight="1">
      <c r="B86" s="45"/>
      <c r="C86" s="46"/>
      <c r="D86" s="45"/>
      <c r="E86" s="45"/>
      <c r="F86" s="45"/>
    </row>
    <row r="87" ht="13.5" customHeight="1">
      <c r="B87" s="21" t="s">
        <v>175</v>
      </c>
      <c r="C87" s="48"/>
      <c r="D87" s="25"/>
      <c r="E87" s="25"/>
      <c r="F87" s="25"/>
    </row>
    <row r="88" ht="13.5" customHeight="1">
      <c r="B88" s="28" t="s">
        <v>156</v>
      </c>
      <c r="C88" s="38" t="s">
        <v>176</v>
      </c>
      <c r="D88" s="34" t="s">
        <v>16</v>
      </c>
      <c r="E88" s="36">
        <v>6.0</v>
      </c>
      <c r="F88" s="36">
        <v>31.0</v>
      </c>
    </row>
    <row r="89" ht="13.5" customHeight="1">
      <c r="B89" s="28" t="s">
        <v>161</v>
      </c>
      <c r="C89" s="83" t="s">
        <v>14</v>
      </c>
      <c r="D89" s="34" t="s">
        <v>16</v>
      </c>
      <c r="E89" s="36">
        <v>5.0</v>
      </c>
      <c r="F89" s="36">
        <v>31.0</v>
      </c>
    </row>
    <row r="90" ht="13.5" customHeight="1">
      <c r="B90" s="28" t="s">
        <v>162</v>
      </c>
      <c r="C90" s="37" t="s">
        <v>163</v>
      </c>
      <c r="D90" s="34" t="s">
        <v>16</v>
      </c>
      <c r="E90" s="36">
        <v>5.0</v>
      </c>
      <c r="F90" s="36">
        <v>31.0</v>
      </c>
    </row>
    <row r="91" ht="13.5" customHeight="1">
      <c r="B91" s="28" t="s">
        <v>141</v>
      </c>
      <c r="C91" s="37" t="s">
        <v>74</v>
      </c>
      <c r="D91" s="34" t="s">
        <v>16</v>
      </c>
      <c r="E91" s="36">
        <v>5.0</v>
      </c>
      <c r="F91" s="36">
        <v>31.0</v>
      </c>
    </row>
    <row r="92" ht="13.5" customHeight="1">
      <c r="B92" s="28" t="s">
        <v>167</v>
      </c>
      <c r="C92" s="1" t="s">
        <v>147</v>
      </c>
      <c r="D92" s="34" t="s">
        <v>15</v>
      </c>
      <c r="E92" s="36">
        <v>5.0</v>
      </c>
      <c r="F92" s="36">
        <v>31.0</v>
      </c>
    </row>
    <row r="93" ht="13.5" customHeight="1">
      <c r="B93" s="45"/>
      <c r="C93" s="46"/>
      <c r="D93" s="45"/>
      <c r="E93" s="45"/>
      <c r="F93" s="45"/>
    </row>
    <row r="94" ht="13.5" customHeight="1">
      <c r="B94" s="21" t="s">
        <v>186</v>
      </c>
      <c r="C94" s="48"/>
      <c r="D94" s="25"/>
      <c r="E94" s="25"/>
      <c r="F94" s="25"/>
    </row>
    <row r="95" ht="13.5" customHeight="1">
      <c r="B95" s="28" t="s">
        <v>156</v>
      </c>
      <c r="C95" s="81" t="s">
        <v>158</v>
      </c>
      <c r="D95" s="34" t="s">
        <v>16</v>
      </c>
      <c r="E95" s="36">
        <v>6.0</v>
      </c>
      <c r="F95" s="36">
        <v>30.0</v>
      </c>
    </row>
    <row r="96" ht="13.5" customHeight="1">
      <c r="B96" s="28" t="s">
        <v>161</v>
      </c>
      <c r="C96" s="83" t="s">
        <v>187</v>
      </c>
      <c r="D96" s="34" t="s">
        <v>16</v>
      </c>
      <c r="E96" s="36">
        <v>5.0</v>
      </c>
      <c r="F96" s="36">
        <v>30.0</v>
      </c>
    </row>
    <row r="97" ht="13.5" customHeight="1">
      <c r="B97" s="28" t="s">
        <v>162</v>
      </c>
      <c r="C97" s="37" t="s">
        <v>163</v>
      </c>
      <c r="D97" s="34" t="s">
        <v>16</v>
      </c>
      <c r="E97" s="36">
        <v>5.0</v>
      </c>
      <c r="F97" s="36">
        <v>30.0</v>
      </c>
    </row>
    <row r="98" ht="13.5" customHeight="1">
      <c r="B98" s="28" t="s">
        <v>141</v>
      </c>
      <c r="C98" s="37" t="s">
        <v>74</v>
      </c>
      <c r="D98" s="34" t="s">
        <v>16</v>
      </c>
      <c r="E98" s="36">
        <v>5.0</v>
      </c>
      <c r="F98" s="36">
        <v>30.0</v>
      </c>
    </row>
    <row r="99" ht="13.5" customHeight="1">
      <c r="B99" s="28" t="s">
        <v>167</v>
      </c>
      <c r="C99" s="1" t="s">
        <v>147</v>
      </c>
      <c r="D99" s="34" t="s">
        <v>15</v>
      </c>
      <c r="E99" s="36">
        <v>5.0</v>
      </c>
      <c r="F99" s="36">
        <v>30.0</v>
      </c>
    </row>
    <row r="100" ht="13.5" customHeight="1">
      <c r="B100" s="45"/>
      <c r="C100" s="46"/>
      <c r="D100" s="45"/>
      <c r="E100" s="45"/>
      <c r="F100" s="45"/>
    </row>
    <row r="101" ht="13.5" customHeight="1">
      <c r="B101" s="21" t="s">
        <v>189</v>
      </c>
      <c r="C101" s="48"/>
      <c r="D101" s="25"/>
      <c r="E101" s="25"/>
      <c r="F101" s="25"/>
    </row>
    <row r="102" ht="13.5" customHeight="1">
      <c r="B102" s="28" t="s">
        <v>156</v>
      </c>
      <c r="C102" s="37" t="s">
        <v>176</v>
      </c>
      <c r="D102" s="34" t="s">
        <v>16</v>
      </c>
      <c r="E102" s="36">
        <v>6.0</v>
      </c>
      <c r="F102" s="36">
        <v>30.0</v>
      </c>
    </row>
    <row r="103" ht="13.5" customHeight="1">
      <c r="B103" s="28" t="s">
        <v>161</v>
      </c>
      <c r="C103" s="83" t="s">
        <v>187</v>
      </c>
      <c r="D103" s="34" t="s">
        <v>16</v>
      </c>
      <c r="E103" s="36">
        <v>5.0</v>
      </c>
      <c r="F103" s="36">
        <v>30.0</v>
      </c>
    </row>
    <row r="104" ht="13.5" customHeight="1">
      <c r="B104" s="28" t="s">
        <v>162</v>
      </c>
      <c r="C104" s="37" t="s">
        <v>163</v>
      </c>
      <c r="D104" s="34" t="s">
        <v>16</v>
      </c>
      <c r="E104" s="36">
        <v>5.0</v>
      </c>
      <c r="F104" s="36">
        <v>30.0</v>
      </c>
    </row>
    <row r="105" ht="13.5" customHeight="1">
      <c r="B105" s="28" t="s">
        <v>141</v>
      </c>
      <c r="C105" s="37" t="s">
        <v>191</v>
      </c>
      <c r="D105" s="34" t="s">
        <v>16</v>
      </c>
      <c r="E105" s="36">
        <v>5.0</v>
      </c>
      <c r="F105" s="36">
        <v>30.0</v>
      </c>
    </row>
    <row r="106" ht="13.5" customHeight="1">
      <c r="B106" s="28" t="s">
        <v>167</v>
      </c>
      <c r="C106" s="31" t="s">
        <v>69</v>
      </c>
      <c r="D106" s="34" t="s">
        <v>15</v>
      </c>
      <c r="E106" s="36">
        <v>5.0</v>
      </c>
      <c r="F106" s="36">
        <v>30.0</v>
      </c>
    </row>
    <row r="107" ht="13.5" customHeight="1">
      <c r="B107" s="45"/>
      <c r="C107" s="46"/>
      <c r="D107" s="45"/>
      <c r="E107" s="45"/>
      <c r="F107" s="45"/>
    </row>
    <row r="108" ht="13.5" customHeight="1">
      <c r="B108" s="21" t="s">
        <v>193</v>
      </c>
      <c r="C108" s="48"/>
      <c r="D108" s="25"/>
      <c r="E108" s="25"/>
      <c r="F108" s="25"/>
    </row>
    <row r="109" ht="13.5" customHeight="1">
      <c r="B109" s="28" t="s">
        <v>156</v>
      </c>
      <c r="C109" s="38" t="s">
        <v>194</v>
      </c>
      <c r="D109" s="34" t="s">
        <v>16</v>
      </c>
      <c r="E109" s="36">
        <v>6.0</v>
      </c>
      <c r="F109" s="36">
        <v>30.0</v>
      </c>
    </row>
    <row r="110" ht="13.5" customHeight="1">
      <c r="B110" s="28" t="s">
        <v>161</v>
      </c>
      <c r="C110" s="37" t="s">
        <v>51</v>
      </c>
      <c r="D110" s="34" t="s">
        <v>16</v>
      </c>
      <c r="E110" s="36">
        <v>5.0</v>
      </c>
      <c r="F110" s="36">
        <v>30.0</v>
      </c>
    </row>
    <row r="111" ht="13.5" customHeight="1">
      <c r="B111" s="28" t="s">
        <v>162</v>
      </c>
      <c r="C111" s="37" t="s">
        <v>196</v>
      </c>
      <c r="D111" s="34" t="s">
        <v>16</v>
      </c>
      <c r="E111" s="36">
        <v>5.0</v>
      </c>
      <c r="F111" s="36">
        <v>30.0</v>
      </c>
    </row>
    <row r="112" ht="13.5" customHeight="1">
      <c r="B112" s="28" t="s">
        <v>141</v>
      </c>
      <c r="C112" s="37" t="s">
        <v>191</v>
      </c>
      <c r="D112" s="34" t="s">
        <v>16</v>
      </c>
      <c r="E112" s="36">
        <v>5.0</v>
      </c>
      <c r="F112" s="36">
        <v>30.0</v>
      </c>
    </row>
    <row r="113" ht="13.5" customHeight="1">
      <c r="B113" s="28" t="s">
        <v>167</v>
      </c>
      <c r="C113" s="31" t="s">
        <v>69</v>
      </c>
      <c r="D113" s="34" t="s">
        <v>15</v>
      </c>
      <c r="E113" s="36">
        <v>5.0</v>
      </c>
      <c r="F113" s="36">
        <v>30.0</v>
      </c>
    </row>
    <row r="114" ht="13.5" customHeight="1">
      <c r="B114" s="45"/>
      <c r="C114" s="46"/>
      <c r="D114" s="45"/>
      <c r="E114" s="45"/>
      <c r="F114" s="45"/>
    </row>
    <row r="115" ht="13.5" customHeight="1">
      <c r="B115" s="21" t="s">
        <v>199</v>
      </c>
      <c r="C115" s="48"/>
      <c r="D115" s="25"/>
      <c r="E115" s="25"/>
      <c r="F115" s="25"/>
    </row>
    <row r="116" ht="13.5" customHeight="1">
      <c r="B116" s="28" t="s">
        <v>156</v>
      </c>
      <c r="C116" s="38" t="s">
        <v>194</v>
      </c>
      <c r="D116" s="34" t="s">
        <v>16</v>
      </c>
      <c r="E116" s="36">
        <v>6.0</v>
      </c>
      <c r="F116" s="36">
        <v>30.0</v>
      </c>
    </row>
    <row r="117" ht="13.5" customHeight="1">
      <c r="B117" s="28" t="s">
        <v>161</v>
      </c>
      <c r="C117" s="37" t="s">
        <v>51</v>
      </c>
      <c r="D117" s="34" t="s">
        <v>16</v>
      </c>
      <c r="E117" s="36">
        <v>5.0</v>
      </c>
      <c r="F117" s="36">
        <v>30.0</v>
      </c>
    </row>
    <row r="118" ht="13.5" customHeight="1">
      <c r="B118" s="28" t="s">
        <v>162</v>
      </c>
      <c r="C118" s="37" t="s">
        <v>196</v>
      </c>
      <c r="D118" s="34" t="s">
        <v>16</v>
      </c>
      <c r="E118" s="36">
        <v>5.0</v>
      </c>
      <c r="F118" s="36">
        <v>30.0</v>
      </c>
    </row>
    <row r="119" ht="13.5" customHeight="1">
      <c r="B119" s="28" t="s">
        <v>141</v>
      </c>
      <c r="C119" s="37" t="s">
        <v>191</v>
      </c>
      <c r="D119" s="34" t="s">
        <v>16</v>
      </c>
      <c r="E119" s="36">
        <v>5.0</v>
      </c>
      <c r="F119" s="36">
        <v>30.0</v>
      </c>
    </row>
    <row r="120" ht="13.5" customHeight="1">
      <c r="B120" s="28" t="s">
        <v>167</v>
      </c>
      <c r="C120" s="31" t="s">
        <v>69</v>
      </c>
      <c r="D120" s="34" t="s">
        <v>15</v>
      </c>
      <c r="E120" s="36">
        <v>5.0</v>
      </c>
      <c r="F120" s="36">
        <v>30.0</v>
      </c>
    </row>
    <row r="121" ht="13.5" customHeight="1">
      <c r="B121" s="45"/>
      <c r="C121" s="46"/>
      <c r="D121" s="45"/>
      <c r="E121" s="45"/>
      <c r="F121" s="45"/>
    </row>
    <row r="122" ht="13.5" customHeight="1">
      <c r="B122" s="21" t="s">
        <v>203</v>
      </c>
      <c r="C122" s="48"/>
      <c r="D122" s="25"/>
      <c r="E122" s="25"/>
      <c r="F122" s="25"/>
    </row>
    <row r="123" ht="13.5" customHeight="1">
      <c r="B123" s="28" t="s">
        <v>156</v>
      </c>
      <c r="C123" s="55"/>
      <c r="D123" s="34" t="s">
        <v>16</v>
      </c>
      <c r="E123" s="36">
        <v>6.0</v>
      </c>
      <c r="F123" s="36">
        <v>30.0</v>
      </c>
    </row>
    <row r="124" ht="13.5" customHeight="1">
      <c r="B124" s="28" t="s">
        <v>161</v>
      </c>
      <c r="C124" s="83"/>
      <c r="D124" s="34" t="s">
        <v>16</v>
      </c>
      <c r="E124" s="36">
        <v>5.0</v>
      </c>
      <c r="F124" s="36">
        <v>30.0</v>
      </c>
    </row>
    <row r="125" ht="13.5" customHeight="1">
      <c r="B125" s="28" t="s">
        <v>162</v>
      </c>
      <c r="C125" s="37"/>
      <c r="D125" s="34" t="s">
        <v>16</v>
      </c>
      <c r="E125" s="36">
        <v>5.0</v>
      </c>
      <c r="F125" s="36">
        <v>30.0</v>
      </c>
    </row>
    <row r="126" ht="13.5" customHeight="1">
      <c r="B126" s="28" t="s">
        <v>141</v>
      </c>
      <c r="C126" s="37"/>
      <c r="D126" s="34" t="s">
        <v>16</v>
      </c>
      <c r="E126" s="36">
        <v>5.0</v>
      </c>
      <c r="F126" s="36">
        <v>30.0</v>
      </c>
    </row>
    <row r="127" ht="13.5" customHeight="1">
      <c r="B127" s="28" t="s">
        <v>167</v>
      </c>
      <c r="C127" s="31"/>
      <c r="D127" s="34" t="s">
        <v>15</v>
      </c>
      <c r="E127" s="36">
        <v>5.0</v>
      </c>
      <c r="F127" s="36">
        <v>30.0</v>
      </c>
    </row>
    <row r="128" ht="13.5" customHeight="1">
      <c r="B128" s="45"/>
      <c r="C128" s="46"/>
      <c r="D128" s="45"/>
      <c r="E128" s="45"/>
      <c r="F128" s="45"/>
    </row>
    <row r="129" ht="13.5" customHeight="1">
      <c r="B129" s="21" t="s">
        <v>246</v>
      </c>
      <c r="C129" s="48"/>
      <c r="D129" s="25"/>
      <c r="E129" s="25"/>
      <c r="F129" s="25"/>
    </row>
    <row r="130" ht="13.5" customHeight="1">
      <c r="B130" s="94" t="s">
        <v>247</v>
      </c>
      <c r="C130" s="95" t="s">
        <v>39</v>
      </c>
      <c r="D130" s="34" t="s">
        <v>16</v>
      </c>
      <c r="E130" s="34">
        <v>5.0</v>
      </c>
      <c r="F130" s="36">
        <v>34.0</v>
      </c>
    </row>
    <row r="131" ht="13.5" customHeight="1">
      <c r="B131" s="94" t="s">
        <v>249</v>
      </c>
      <c r="C131" s="37" t="s">
        <v>33</v>
      </c>
      <c r="D131" s="34" t="s">
        <v>16</v>
      </c>
      <c r="E131" s="36">
        <v>6.0</v>
      </c>
      <c r="F131" s="36">
        <v>34.0</v>
      </c>
    </row>
    <row r="132" ht="13.5" customHeight="1">
      <c r="B132" s="94" t="s">
        <v>250</v>
      </c>
      <c r="C132" s="96" t="s">
        <v>251</v>
      </c>
      <c r="D132" s="34" t="s">
        <v>252</v>
      </c>
      <c r="E132" s="34">
        <v>6.0</v>
      </c>
      <c r="F132" s="36">
        <v>34.0</v>
      </c>
    </row>
    <row r="133" ht="13.5" customHeight="1">
      <c r="B133" s="94" t="s">
        <v>254</v>
      </c>
      <c r="C133" s="38" t="s">
        <v>255</v>
      </c>
      <c r="D133" s="34" t="s">
        <v>15</v>
      </c>
      <c r="E133" s="36">
        <v>5.0</v>
      </c>
      <c r="F133" s="36">
        <v>34.0</v>
      </c>
    </row>
    <row r="134" ht="13.5" customHeight="1">
      <c r="B134" s="94" t="s">
        <v>256</v>
      </c>
      <c r="C134" s="31" t="s">
        <v>134</v>
      </c>
      <c r="D134" s="34" t="s">
        <v>15</v>
      </c>
      <c r="E134" s="36">
        <v>5.0</v>
      </c>
      <c r="F134" s="36">
        <v>34.0</v>
      </c>
    </row>
    <row r="135" ht="13.5" customHeight="1">
      <c r="B135" s="45"/>
      <c r="C135" s="46"/>
      <c r="D135" s="45"/>
      <c r="E135" s="45"/>
      <c r="F135" s="45"/>
    </row>
    <row r="136" ht="13.5" customHeight="1">
      <c r="B136" s="21" t="s">
        <v>258</v>
      </c>
      <c r="C136" s="48"/>
      <c r="D136" s="25"/>
      <c r="E136" s="25"/>
      <c r="F136" s="25"/>
    </row>
    <row r="137" ht="13.5" customHeight="1">
      <c r="B137" s="94" t="s">
        <v>247</v>
      </c>
      <c r="C137" s="95" t="s">
        <v>39</v>
      </c>
      <c r="D137" s="34" t="s">
        <v>16</v>
      </c>
      <c r="E137" s="34">
        <v>5.0</v>
      </c>
      <c r="F137" s="36">
        <v>34.0</v>
      </c>
    </row>
    <row r="138" ht="13.5" customHeight="1">
      <c r="B138" s="94" t="s">
        <v>249</v>
      </c>
      <c r="C138" s="37" t="s">
        <v>33</v>
      </c>
      <c r="D138" s="34" t="s">
        <v>16</v>
      </c>
      <c r="E138" s="36">
        <v>6.0</v>
      </c>
      <c r="F138" s="36">
        <v>34.0</v>
      </c>
    </row>
    <row r="139" ht="13.5" customHeight="1">
      <c r="B139" s="94" t="s">
        <v>250</v>
      </c>
      <c r="C139" s="96" t="s">
        <v>251</v>
      </c>
      <c r="D139" s="34" t="s">
        <v>252</v>
      </c>
      <c r="E139" s="34">
        <v>6.0</v>
      </c>
      <c r="F139" s="36">
        <v>34.0</v>
      </c>
    </row>
    <row r="140" ht="13.5" customHeight="1">
      <c r="B140" s="94" t="s">
        <v>254</v>
      </c>
      <c r="C140" s="38" t="s">
        <v>255</v>
      </c>
      <c r="D140" s="34" t="s">
        <v>15</v>
      </c>
      <c r="E140" s="36">
        <v>5.0</v>
      </c>
      <c r="F140" s="36">
        <v>34.0</v>
      </c>
    </row>
    <row r="141" ht="13.5" customHeight="1">
      <c r="B141" s="94" t="s">
        <v>256</v>
      </c>
      <c r="C141" s="31" t="s">
        <v>134</v>
      </c>
      <c r="D141" s="34" t="s">
        <v>15</v>
      </c>
      <c r="E141" s="36">
        <v>5.0</v>
      </c>
      <c r="F141" s="36">
        <v>34.0</v>
      </c>
    </row>
    <row r="142" ht="13.5" customHeight="1">
      <c r="B142" s="45"/>
      <c r="C142" s="46"/>
      <c r="D142" s="45"/>
      <c r="E142" s="45"/>
      <c r="F142" s="45"/>
    </row>
    <row r="143" ht="13.5" customHeight="1">
      <c r="B143" s="21" t="s">
        <v>269</v>
      </c>
      <c r="C143" s="48"/>
      <c r="D143" s="25"/>
      <c r="E143" s="25"/>
      <c r="F143" s="25"/>
    </row>
    <row r="144" ht="13.5" customHeight="1">
      <c r="B144" s="94" t="s">
        <v>247</v>
      </c>
      <c r="C144" s="95" t="s">
        <v>39</v>
      </c>
      <c r="D144" s="34" t="s">
        <v>16</v>
      </c>
      <c r="E144" s="34">
        <v>5.0</v>
      </c>
      <c r="F144" s="36">
        <v>34.0</v>
      </c>
    </row>
    <row r="145" ht="15.75" customHeight="1">
      <c r="B145" s="94" t="s">
        <v>249</v>
      </c>
      <c r="C145" s="1" t="s">
        <v>158</v>
      </c>
      <c r="D145" s="34" t="s">
        <v>16</v>
      </c>
      <c r="E145" s="36">
        <v>6.0</v>
      </c>
      <c r="F145" s="36">
        <v>34.0</v>
      </c>
    </row>
    <row r="146" ht="13.5" customHeight="1">
      <c r="B146" s="94" t="s">
        <v>250</v>
      </c>
      <c r="C146" s="104" t="s">
        <v>273</v>
      </c>
      <c r="D146" s="34" t="s">
        <v>252</v>
      </c>
      <c r="E146" s="34">
        <v>6.0</v>
      </c>
      <c r="F146" s="36">
        <v>34.0</v>
      </c>
    </row>
    <row r="147" ht="13.5" customHeight="1">
      <c r="B147" s="94" t="s">
        <v>254</v>
      </c>
      <c r="C147" s="38" t="s">
        <v>255</v>
      </c>
      <c r="D147" s="34" t="s">
        <v>15</v>
      </c>
      <c r="E147" s="36">
        <v>5.0</v>
      </c>
      <c r="F147" s="36">
        <v>34.0</v>
      </c>
    </row>
    <row r="148" ht="13.5" customHeight="1">
      <c r="B148" s="94" t="s">
        <v>256</v>
      </c>
      <c r="C148" s="76"/>
      <c r="D148" s="34" t="s">
        <v>15</v>
      </c>
      <c r="E148" s="36">
        <v>5.0</v>
      </c>
      <c r="F148" s="36">
        <v>34.0</v>
      </c>
    </row>
    <row r="149" ht="13.5" customHeight="1">
      <c r="B149" s="45"/>
      <c r="C149" s="46"/>
      <c r="D149" s="45"/>
      <c r="E149" s="45"/>
      <c r="F149" s="45"/>
    </row>
    <row r="150" ht="13.5" customHeight="1">
      <c r="B150" s="21" t="s">
        <v>279</v>
      </c>
      <c r="C150" s="48"/>
      <c r="D150" s="25"/>
      <c r="E150" s="25"/>
      <c r="F150" s="25"/>
    </row>
    <row r="151" ht="13.5" customHeight="1">
      <c r="B151" s="94" t="s">
        <v>247</v>
      </c>
      <c r="C151" s="95" t="s">
        <v>39</v>
      </c>
      <c r="D151" s="34" t="s">
        <v>16</v>
      </c>
      <c r="E151" s="34">
        <v>5.0</v>
      </c>
      <c r="F151" s="36">
        <v>34.0</v>
      </c>
    </row>
    <row r="152" ht="13.5" customHeight="1">
      <c r="B152" s="94" t="s">
        <v>249</v>
      </c>
      <c r="C152" s="1" t="s">
        <v>158</v>
      </c>
      <c r="D152" s="34" t="s">
        <v>16</v>
      </c>
      <c r="E152" s="36">
        <v>6.0</v>
      </c>
      <c r="F152" s="36">
        <v>34.0</v>
      </c>
    </row>
    <row r="153" ht="13.5" customHeight="1">
      <c r="B153" s="94" t="s">
        <v>250</v>
      </c>
      <c r="C153" s="104" t="s">
        <v>273</v>
      </c>
      <c r="D153" s="34" t="s">
        <v>252</v>
      </c>
      <c r="E153" s="34">
        <v>6.0</v>
      </c>
      <c r="F153" s="36">
        <v>34.0</v>
      </c>
    </row>
    <row r="154" ht="13.5" customHeight="1">
      <c r="B154" s="94" t="s">
        <v>254</v>
      </c>
      <c r="C154" s="38" t="s">
        <v>255</v>
      </c>
      <c r="D154" s="34" t="s">
        <v>15</v>
      </c>
      <c r="E154" s="36">
        <v>5.0</v>
      </c>
      <c r="F154" s="36">
        <v>34.0</v>
      </c>
    </row>
    <row r="155" ht="13.5" customHeight="1">
      <c r="B155" s="94" t="s">
        <v>256</v>
      </c>
      <c r="C155" s="76"/>
      <c r="D155" s="34" t="s">
        <v>15</v>
      </c>
      <c r="E155" s="36">
        <v>5.0</v>
      </c>
      <c r="F155" s="36">
        <v>34.0</v>
      </c>
    </row>
    <row r="156" ht="13.5" customHeight="1">
      <c r="B156" s="45"/>
      <c r="C156" s="46"/>
      <c r="D156" s="45"/>
      <c r="E156" s="45"/>
      <c r="F156" s="45"/>
    </row>
    <row r="157" ht="13.5" customHeight="1">
      <c r="B157" s="21" t="s">
        <v>282</v>
      </c>
      <c r="C157" s="48"/>
      <c r="D157" s="25"/>
      <c r="E157" s="25"/>
      <c r="F157" s="25"/>
    </row>
    <row r="158" ht="13.5" customHeight="1">
      <c r="B158" s="28" t="s">
        <v>283</v>
      </c>
      <c r="C158" s="37" t="s">
        <v>176</v>
      </c>
      <c r="D158" s="34" t="s">
        <v>16</v>
      </c>
      <c r="E158" s="34">
        <v>6.0</v>
      </c>
      <c r="F158" s="36">
        <v>35.0</v>
      </c>
    </row>
    <row r="159" ht="13.5" customHeight="1">
      <c r="B159" s="28" t="s">
        <v>284</v>
      </c>
      <c r="C159" s="38" t="s">
        <v>285</v>
      </c>
      <c r="D159" s="34" t="s">
        <v>16</v>
      </c>
      <c r="E159" s="36">
        <v>5.0</v>
      </c>
      <c r="F159" s="36">
        <v>35.0</v>
      </c>
    </row>
    <row r="160" ht="13.5" customHeight="1">
      <c r="B160" s="28" t="s">
        <v>275</v>
      </c>
      <c r="C160" s="37" t="s">
        <v>90</v>
      </c>
      <c r="D160" s="36" t="s">
        <v>48</v>
      </c>
      <c r="E160" s="36">
        <v>5.0</v>
      </c>
      <c r="F160" s="36">
        <v>35.0</v>
      </c>
    </row>
    <row r="161" ht="13.5" customHeight="1">
      <c r="B161" s="28" t="s">
        <v>289</v>
      </c>
      <c r="C161" s="31" t="s">
        <v>290</v>
      </c>
      <c r="D161" s="34" t="s">
        <v>15</v>
      </c>
      <c r="E161" s="36">
        <v>5.0</v>
      </c>
      <c r="F161" s="36">
        <v>35.0</v>
      </c>
    </row>
    <row r="162" ht="13.5" customHeight="1">
      <c r="B162" s="28" t="s">
        <v>291</v>
      </c>
      <c r="C162" s="63" t="s">
        <v>92</v>
      </c>
      <c r="D162" s="34" t="s">
        <v>16</v>
      </c>
      <c r="E162" s="36">
        <v>5.0</v>
      </c>
      <c r="F162" s="36">
        <v>35.0</v>
      </c>
    </row>
    <row r="163" ht="13.5" customHeight="1">
      <c r="B163" s="45"/>
      <c r="C163" s="46"/>
      <c r="D163" s="45"/>
      <c r="E163" s="45"/>
      <c r="F163" s="45"/>
    </row>
    <row r="164" ht="13.5" customHeight="1">
      <c r="B164" s="21" t="s">
        <v>293</v>
      </c>
      <c r="C164" s="48"/>
      <c r="D164" s="25"/>
      <c r="E164" s="25"/>
      <c r="F164" s="25"/>
    </row>
    <row r="165" ht="13.5" customHeight="1">
      <c r="B165" s="28" t="s">
        <v>283</v>
      </c>
      <c r="C165" s="1" t="s">
        <v>146</v>
      </c>
      <c r="D165" s="34" t="s">
        <v>16</v>
      </c>
      <c r="E165" s="36">
        <v>6.0</v>
      </c>
      <c r="F165" s="36">
        <v>35.0</v>
      </c>
    </row>
    <row r="166" ht="15.75" customHeight="1">
      <c r="B166" s="28" t="s">
        <v>284</v>
      </c>
      <c r="C166" s="83" t="s">
        <v>187</v>
      </c>
      <c r="D166" s="34" t="s">
        <v>16</v>
      </c>
      <c r="E166" s="36">
        <v>5.0</v>
      </c>
      <c r="F166" s="36">
        <v>35.0</v>
      </c>
    </row>
    <row r="167" ht="13.5" customHeight="1">
      <c r="B167" s="28" t="s">
        <v>275</v>
      </c>
      <c r="C167" s="37" t="s">
        <v>76</v>
      </c>
      <c r="D167" s="36" t="s">
        <v>48</v>
      </c>
      <c r="E167" s="36">
        <v>5.0</v>
      </c>
      <c r="F167" s="36">
        <v>35.0</v>
      </c>
    </row>
    <row r="168" ht="13.5" customHeight="1">
      <c r="B168" s="28" t="s">
        <v>289</v>
      </c>
      <c r="C168" s="31" t="s">
        <v>290</v>
      </c>
      <c r="D168" s="34" t="s">
        <v>15</v>
      </c>
      <c r="E168" s="36">
        <v>5.0</v>
      </c>
      <c r="F168" s="36">
        <v>35.0</v>
      </c>
    </row>
    <row r="169" ht="13.5" customHeight="1">
      <c r="B169" s="28" t="s">
        <v>291</v>
      </c>
      <c r="C169" s="38" t="s">
        <v>194</v>
      </c>
      <c r="D169" s="34" t="s">
        <v>16</v>
      </c>
      <c r="E169" s="36">
        <v>5.0</v>
      </c>
      <c r="F169" s="36">
        <v>35.0</v>
      </c>
    </row>
    <row r="170" ht="13.5" customHeight="1">
      <c r="B170" s="45"/>
      <c r="C170" s="46"/>
      <c r="D170" s="45"/>
      <c r="E170" s="45"/>
      <c r="F170" s="45"/>
    </row>
    <row r="171" ht="13.5" customHeight="1">
      <c r="B171" s="21" t="s">
        <v>297</v>
      </c>
      <c r="C171" s="48"/>
      <c r="D171" s="25"/>
      <c r="E171" s="25"/>
      <c r="F171" s="25"/>
    </row>
    <row r="172" ht="13.5" customHeight="1">
      <c r="B172" s="28" t="s">
        <v>283</v>
      </c>
      <c r="C172" s="63" t="s">
        <v>146</v>
      </c>
      <c r="D172" s="34" t="s">
        <v>16</v>
      </c>
      <c r="E172" s="36">
        <v>6.0</v>
      </c>
      <c r="F172" s="36">
        <v>35.0</v>
      </c>
    </row>
    <row r="173" ht="13.5" customHeight="1">
      <c r="B173" s="28" t="s">
        <v>284</v>
      </c>
      <c r="C173" s="38" t="s">
        <v>299</v>
      </c>
      <c r="D173" s="34" t="s">
        <v>16</v>
      </c>
      <c r="E173" s="36">
        <v>5.0</v>
      </c>
      <c r="F173" s="36">
        <v>35.0</v>
      </c>
    </row>
    <row r="174" ht="13.5" customHeight="1">
      <c r="B174" s="28" t="s">
        <v>275</v>
      </c>
      <c r="C174" s="52" t="s">
        <v>300</v>
      </c>
      <c r="D174" s="36" t="s">
        <v>48</v>
      </c>
      <c r="E174" s="36">
        <v>5.0</v>
      </c>
      <c r="F174" s="36">
        <v>35.0</v>
      </c>
    </row>
    <row r="175" ht="13.5" customHeight="1">
      <c r="B175" s="28" t="s">
        <v>289</v>
      </c>
      <c r="C175" s="31" t="s">
        <v>290</v>
      </c>
      <c r="D175" s="34" t="s">
        <v>15</v>
      </c>
      <c r="E175" s="36">
        <v>5.0</v>
      </c>
      <c r="F175" s="36">
        <v>35.0</v>
      </c>
    </row>
    <row r="176" ht="13.5" customHeight="1">
      <c r="B176" s="28" t="s">
        <v>291</v>
      </c>
      <c r="C176" s="38" t="s">
        <v>194</v>
      </c>
      <c r="D176" s="34" t="s">
        <v>16</v>
      </c>
      <c r="E176" s="36">
        <v>5.0</v>
      </c>
      <c r="F176" s="36">
        <v>35.0</v>
      </c>
    </row>
    <row r="177" ht="13.5" customHeight="1">
      <c r="B177" s="45"/>
      <c r="C177" s="46"/>
      <c r="D177" s="45"/>
      <c r="E177" s="45"/>
      <c r="F177" s="45"/>
    </row>
    <row r="178" ht="13.5" customHeight="1">
      <c r="B178" s="21" t="s">
        <v>303</v>
      </c>
      <c r="C178" s="46"/>
      <c r="D178" s="25"/>
      <c r="E178" s="25"/>
      <c r="F178" s="25"/>
    </row>
    <row r="179" ht="13.5" customHeight="1">
      <c r="B179" s="28" t="s">
        <v>304</v>
      </c>
      <c r="C179" s="37" t="s">
        <v>299</v>
      </c>
      <c r="D179" s="34" t="s">
        <v>16</v>
      </c>
      <c r="E179" s="36">
        <v>5.0</v>
      </c>
      <c r="F179" s="36">
        <v>36.0</v>
      </c>
    </row>
    <row r="180" ht="13.5" customHeight="1">
      <c r="B180" s="28" t="s">
        <v>305</v>
      </c>
      <c r="C180" s="37" t="s">
        <v>306</v>
      </c>
      <c r="D180" s="34" t="s">
        <v>16</v>
      </c>
      <c r="E180" s="36">
        <v>5.0</v>
      </c>
      <c r="F180" s="36">
        <v>36.0</v>
      </c>
    </row>
    <row r="181" ht="13.5" customHeight="1">
      <c r="B181" s="28" t="s">
        <v>308</v>
      </c>
      <c r="C181" s="38" t="s">
        <v>29</v>
      </c>
      <c r="D181" s="34" t="s">
        <v>16</v>
      </c>
      <c r="E181" s="36">
        <v>5.0</v>
      </c>
      <c r="F181" s="36">
        <v>36.0</v>
      </c>
    </row>
    <row r="182" ht="13.5" customHeight="1">
      <c r="B182" s="28" t="s">
        <v>309</v>
      </c>
      <c r="C182" s="37" t="s">
        <v>285</v>
      </c>
      <c r="D182" s="34" t="s">
        <v>16</v>
      </c>
      <c r="E182" s="36">
        <v>5.0</v>
      </c>
      <c r="F182" s="36">
        <v>36.0</v>
      </c>
    </row>
    <row r="183" ht="13.5" customHeight="1">
      <c r="B183" s="28" t="s">
        <v>310</v>
      </c>
      <c r="C183" s="113" t="s">
        <v>70</v>
      </c>
      <c r="D183" s="34" t="s">
        <v>16</v>
      </c>
      <c r="E183" s="36">
        <v>5.0</v>
      </c>
      <c r="F183" s="36">
        <v>36.0</v>
      </c>
    </row>
    <row r="184" ht="13.5" customHeight="1">
      <c r="B184" s="45"/>
      <c r="C184" s="46"/>
      <c r="D184" s="45"/>
      <c r="E184" s="45"/>
      <c r="F184" s="45"/>
    </row>
    <row r="185" ht="13.5" customHeight="1">
      <c r="B185" s="21" t="s">
        <v>314</v>
      </c>
      <c r="C185" s="48"/>
      <c r="D185" s="25"/>
      <c r="E185" s="25"/>
      <c r="F185" s="25"/>
    </row>
    <row r="186" ht="13.5" customHeight="1">
      <c r="B186" s="28" t="s">
        <v>304</v>
      </c>
      <c r="C186" s="37" t="s">
        <v>299</v>
      </c>
      <c r="D186" s="34" t="s">
        <v>16</v>
      </c>
      <c r="E186" s="36">
        <v>5.0</v>
      </c>
      <c r="F186" s="36">
        <v>36.0</v>
      </c>
    </row>
    <row r="187" ht="15.75" customHeight="1">
      <c r="B187" s="28" t="s">
        <v>305</v>
      </c>
      <c r="C187" s="37" t="s">
        <v>306</v>
      </c>
      <c r="D187" s="34" t="s">
        <v>16</v>
      </c>
      <c r="E187" s="36">
        <v>5.0</v>
      </c>
      <c r="F187" s="36">
        <v>36.0</v>
      </c>
      <c r="Q187" s="9"/>
    </row>
    <row r="188" ht="15.75" customHeight="1">
      <c r="B188" s="28" t="s">
        <v>308</v>
      </c>
      <c r="C188" s="38" t="s">
        <v>29</v>
      </c>
      <c r="D188" s="34" t="s">
        <v>16</v>
      </c>
      <c r="E188" s="36">
        <v>5.0</v>
      </c>
      <c r="F188" s="36">
        <v>36.0</v>
      </c>
    </row>
    <row r="189" ht="15.75" customHeight="1">
      <c r="B189" s="28" t="s">
        <v>309</v>
      </c>
      <c r="C189" s="37" t="s">
        <v>285</v>
      </c>
      <c r="D189" s="34" t="s">
        <v>16</v>
      </c>
      <c r="E189" s="36">
        <v>5.0</v>
      </c>
      <c r="F189" s="36">
        <v>36.0</v>
      </c>
    </row>
    <row r="190" ht="15.75" customHeight="1">
      <c r="B190" s="28" t="s">
        <v>310</v>
      </c>
      <c r="C190" s="113" t="s">
        <v>70</v>
      </c>
      <c r="D190" s="34" t="s">
        <v>16</v>
      </c>
      <c r="E190" s="36">
        <v>5.0</v>
      </c>
      <c r="F190" s="36">
        <v>36.0</v>
      </c>
    </row>
    <row r="191" ht="13.5" customHeight="1">
      <c r="A191" s="9"/>
      <c r="B191" s="8"/>
      <c r="C191" s="114"/>
      <c r="D191" s="8"/>
      <c r="E191" s="8"/>
      <c r="F191" s="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3.5" customHeight="1">
      <c r="A192" s="9"/>
      <c r="B192" s="21" t="s">
        <v>321</v>
      </c>
      <c r="C192" s="115"/>
      <c r="D192" s="23"/>
      <c r="E192" s="23"/>
      <c r="F192" s="2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3.5" customHeight="1">
      <c r="A193" s="9"/>
      <c r="B193" s="28" t="s">
        <v>304</v>
      </c>
      <c r="C193" s="37" t="s">
        <v>299</v>
      </c>
      <c r="D193" s="34" t="s">
        <v>16</v>
      </c>
      <c r="E193" s="36">
        <v>5.0</v>
      </c>
      <c r="F193" s="36">
        <v>36.0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3.5" customHeight="1">
      <c r="A194" s="9"/>
      <c r="B194" s="28" t="s">
        <v>305</v>
      </c>
      <c r="C194" s="37" t="s">
        <v>306</v>
      </c>
      <c r="D194" s="34" t="s">
        <v>16</v>
      </c>
      <c r="E194" s="36">
        <v>5.0</v>
      </c>
      <c r="F194" s="36">
        <v>36.0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3.5" customHeight="1">
      <c r="A195" s="9"/>
      <c r="B195" s="28" t="s">
        <v>308</v>
      </c>
      <c r="C195" s="38" t="s">
        <v>29</v>
      </c>
      <c r="D195" s="34" t="s">
        <v>16</v>
      </c>
      <c r="E195" s="36">
        <v>5.0</v>
      </c>
      <c r="F195" s="36">
        <v>36.0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3.5" customHeight="1">
      <c r="A196" s="9"/>
      <c r="B196" s="28" t="s">
        <v>309</v>
      </c>
      <c r="C196" s="37" t="s">
        <v>285</v>
      </c>
      <c r="D196" s="34" t="s">
        <v>16</v>
      </c>
      <c r="E196" s="36">
        <v>5.0</v>
      </c>
      <c r="F196" s="36">
        <v>36.0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3.5" customHeight="1">
      <c r="A197" s="9"/>
      <c r="B197" s="28" t="s">
        <v>310</v>
      </c>
      <c r="C197" s="38" t="s">
        <v>325</v>
      </c>
      <c r="D197" s="34" t="s">
        <v>16</v>
      </c>
      <c r="E197" s="36">
        <v>5.0</v>
      </c>
      <c r="F197" s="36">
        <v>36.0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3.5" customHeight="1">
      <c r="A198" s="9"/>
      <c r="B198" s="119"/>
      <c r="C198" s="47"/>
      <c r="D198" s="35"/>
      <c r="E198" s="35"/>
      <c r="F198" s="3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3.5" customHeight="1">
      <c r="A199" s="9"/>
      <c r="B199" s="119"/>
      <c r="C199" s="47"/>
      <c r="D199" s="35"/>
      <c r="E199" s="35"/>
      <c r="F199" s="3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3.5" customHeight="1">
      <c r="A200" s="9"/>
      <c r="B200" s="119"/>
      <c r="C200" s="47"/>
      <c r="D200" s="35"/>
      <c r="E200" s="35"/>
      <c r="F200" s="3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3.5" customHeight="1">
      <c r="A201" s="9"/>
      <c r="B201" s="119"/>
      <c r="C201" s="47"/>
      <c r="D201" s="35"/>
      <c r="E201" s="35"/>
      <c r="F201" s="3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3.5" customHeight="1">
      <c r="A202" s="9"/>
      <c r="B202" s="119"/>
      <c r="C202" s="47"/>
      <c r="D202" s="35"/>
      <c r="E202" s="35"/>
      <c r="F202" s="3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3.5" customHeight="1">
      <c r="A203" s="9"/>
      <c r="B203" s="119"/>
      <c r="C203" s="47"/>
      <c r="D203" s="35"/>
      <c r="E203" s="35"/>
      <c r="F203" s="3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3.5" customHeight="1">
      <c r="A204" s="9"/>
      <c r="B204" s="119"/>
      <c r="C204" s="47"/>
      <c r="D204" s="35"/>
      <c r="E204" s="35"/>
      <c r="F204" s="3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3.5" customHeight="1">
      <c r="A205" s="9"/>
      <c r="B205" s="119"/>
      <c r="C205" s="47"/>
      <c r="D205" s="35"/>
      <c r="E205" s="35"/>
      <c r="F205" s="3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3.5" customHeight="1">
      <c r="A206" s="9"/>
      <c r="B206" s="119"/>
      <c r="C206" s="47"/>
      <c r="D206" s="35"/>
      <c r="E206" s="35"/>
      <c r="F206" s="3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3.5" customHeight="1">
      <c r="A207" s="9"/>
      <c r="B207" s="119"/>
      <c r="C207" s="47"/>
      <c r="D207" s="35"/>
      <c r="E207" s="35"/>
      <c r="F207" s="3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3.5" customHeight="1">
      <c r="A208" s="9"/>
      <c r="B208" s="119"/>
      <c r="C208" s="47"/>
      <c r="D208" s="35"/>
      <c r="E208" s="35"/>
      <c r="F208" s="3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3.5" customHeight="1">
      <c r="A209" s="9"/>
      <c r="B209" s="119"/>
      <c r="C209" s="47"/>
      <c r="D209" s="35"/>
      <c r="E209" s="35"/>
      <c r="F209" s="3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3.5" customHeight="1">
      <c r="A210" s="9"/>
      <c r="B210" s="119"/>
      <c r="C210" s="47"/>
      <c r="D210" s="35"/>
      <c r="E210" s="35"/>
      <c r="F210" s="3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3.5" customHeight="1">
      <c r="A211" s="9"/>
      <c r="B211" s="119"/>
      <c r="C211" s="47"/>
      <c r="D211" s="35"/>
      <c r="E211" s="35"/>
      <c r="F211" s="3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3.5" customHeight="1">
      <c r="A212" s="9"/>
      <c r="B212" s="119"/>
      <c r="C212" s="47"/>
      <c r="D212" s="35"/>
      <c r="E212" s="35"/>
      <c r="F212" s="3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3.5" customHeight="1">
      <c r="A213" s="9"/>
      <c r="B213" s="119"/>
      <c r="C213" s="47"/>
      <c r="D213" s="35"/>
      <c r="E213" s="35"/>
      <c r="F213" s="3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3.5" customHeight="1">
      <c r="A214" s="9"/>
      <c r="B214" s="119"/>
      <c r="C214" s="47"/>
      <c r="D214" s="35"/>
      <c r="E214" s="35"/>
      <c r="F214" s="3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3.5" customHeight="1">
      <c r="A215" s="9"/>
      <c r="B215" s="119"/>
      <c r="C215" s="47"/>
      <c r="D215" s="35"/>
      <c r="E215" s="35"/>
      <c r="F215" s="3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3.5" customHeight="1">
      <c r="A216" s="9"/>
      <c r="B216" s="119"/>
      <c r="C216" s="47"/>
      <c r="D216" s="35"/>
      <c r="E216" s="35"/>
      <c r="F216" s="3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3.5" customHeight="1">
      <c r="A217" s="9"/>
      <c r="B217" s="119"/>
      <c r="C217" s="47"/>
      <c r="D217" s="35"/>
      <c r="E217" s="35"/>
      <c r="F217" s="3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3.5" customHeight="1">
      <c r="A218" s="9"/>
      <c r="B218" s="119"/>
      <c r="C218" s="47"/>
      <c r="D218" s="35"/>
      <c r="E218" s="35"/>
      <c r="F218" s="3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3.5" customHeight="1">
      <c r="A219" s="9"/>
      <c r="B219" s="119"/>
      <c r="C219" s="47"/>
      <c r="D219" s="35"/>
      <c r="E219" s="35"/>
      <c r="F219" s="3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25.5" customHeight="1">
      <c r="A220" s="9"/>
      <c r="B220" s="86"/>
      <c r="C220" s="13" t="s">
        <v>331</v>
      </c>
      <c r="D220" s="13" t="s">
        <v>207</v>
      </c>
      <c r="E220" s="13" t="s">
        <v>208</v>
      </c>
      <c r="F220" s="13" t="s">
        <v>209</v>
      </c>
      <c r="G220" s="13" t="s">
        <v>210</v>
      </c>
      <c r="H220" s="13" t="s">
        <v>211</v>
      </c>
      <c r="I220" s="13" t="s">
        <v>212</v>
      </c>
      <c r="J220" s="13" t="s">
        <v>213</v>
      </c>
      <c r="K220" s="13" t="s">
        <v>214</v>
      </c>
      <c r="L220" s="13" t="s">
        <v>215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3.5" customHeight="1">
      <c r="B221" s="62">
        <v>1.0</v>
      </c>
      <c r="C221" s="38" t="s">
        <v>325</v>
      </c>
      <c r="D221" s="35">
        <f t="shared" ref="D221:D245" si="1">COUNTIF($C$4:$C$214,C221)</f>
        <v>1</v>
      </c>
      <c r="E221" s="92">
        <f>'Asignación-Profesor'!D79-D221</f>
        <v>0</v>
      </c>
      <c r="F221" s="35">
        <f t="shared" ref="F221:F245" si="2">E221+D221</f>
        <v>1</v>
      </c>
      <c r="G221" s="35">
        <f>'Asignación-Profesor'!P79</f>
        <v>36</v>
      </c>
      <c r="H221" s="35">
        <f>'Asignación-Profesor'!Q79</f>
        <v>5</v>
      </c>
      <c r="I221" s="17"/>
      <c r="J221" s="8"/>
      <c r="K221" s="128" t="s">
        <v>333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3.5" customHeight="1">
      <c r="B222" s="62">
        <v>2.0</v>
      </c>
      <c r="C222" s="38" t="s">
        <v>125</v>
      </c>
      <c r="D222" s="35">
        <f t="shared" si="1"/>
        <v>2</v>
      </c>
      <c r="E222" s="92">
        <f>'Asignación-Profesor'!D80-D222</f>
        <v>2</v>
      </c>
      <c r="F222" s="35">
        <f t="shared" si="2"/>
        <v>4</v>
      </c>
      <c r="G222" s="35">
        <f>'Asignación-Profesor'!P80</f>
        <v>76</v>
      </c>
      <c r="H222" s="35">
        <f>'Asignación-Profesor'!Q80</f>
        <v>18</v>
      </c>
      <c r="I222" s="8"/>
      <c r="J222" s="8"/>
      <c r="K222" s="128" t="s">
        <v>333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3.5" customHeight="1">
      <c r="B223" s="62">
        <v>3.0</v>
      </c>
      <c r="C223" s="38" t="s">
        <v>29</v>
      </c>
      <c r="D223" s="35">
        <f t="shared" si="1"/>
        <v>4</v>
      </c>
      <c r="E223" s="92">
        <f>'Asignación-Profesor'!D81-D223</f>
        <v>0</v>
      </c>
      <c r="F223" s="35">
        <f t="shared" si="2"/>
        <v>4</v>
      </c>
      <c r="G223" s="35">
        <f>'Asignación-Profesor'!P81</f>
        <v>108</v>
      </c>
      <c r="H223" s="35">
        <f>'Asignación-Profesor'!Q81</f>
        <v>19</v>
      </c>
      <c r="I223" s="8"/>
      <c r="J223" s="8"/>
      <c r="K223" s="128" t="s">
        <v>333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3.5" customHeight="1">
      <c r="B224" s="62">
        <v>4.0</v>
      </c>
      <c r="C224" s="38" t="s">
        <v>163</v>
      </c>
      <c r="D224" s="35">
        <f t="shared" si="1"/>
        <v>4</v>
      </c>
      <c r="E224" s="92">
        <f>'Asignación-Profesor'!D82-D224</f>
        <v>0</v>
      </c>
      <c r="F224" s="35">
        <f t="shared" si="2"/>
        <v>4</v>
      </c>
      <c r="G224" s="35">
        <f>'Asignación-Profesor'!P82</f>
        <v>122</v>
      </c>
      <c r="H224" s="35">
        <f>'Asignación-Profesor'!Q82</f>
        <v>20</v>
      </c>
      <c r="I224" s="89"/>
      <c r="J224" s="8"/>
      <c r="K224" s="8" t="s">
        <v>336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3.5" customHeight="1">
      <c r="B225" s="133" t="s">
        <v>337</v>
      </c>
      <c r="C225" s="38" t="s">
        <v>306</v>
      </c>
      <c r="D225" s="35">
        <f t="shared" si="1"/>
        <v>3</v>
      </c>
      <c r="E225" s="92">
        <f>'Asignación-Profesor'!D83-D225</f>
        <v>0</v>
      </c>
      <c r="F225" s="35">
        <f t="shared" si="2"/>
        <v>3</v>
      </c>
      <c r="G225" s="35">
        <f>'Asignación-Profesor'!P83</f>
        <v>108</v>
      </c>
      <c r="H225" s="35">
        <f>'Asignación-Profesor'!Q83</f>
        <v>15</v>
      </c>
      <c r="I225" s="89"/>
      <c r="J225" s="89"/>
      <c r="K225" s="8" t="s">
        <v>336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3.5" customHeight="1">
      <c r="B226" s="62">
        <v>6.0</v>
      </c>
      <c r="C226" s="38" t="s">
        <v>299</v>
      </c>
      <c r="D226" s="35">
        <f t="shared" si="1"/>
        <v>4</v>
      </c>
      <c r="E226" s="92">
        <f>'Asignación-Profesor'!D84-D226</f>
        <v>0</v>
      </c>
      <c r="F226" s="35">
        <f t="shared" si="2"/>
        <v>4</v>
      </c>
      <c r="G226" s="35">
        <f>'Asignación-Profesor'!P84</f>
        <v>143</v>
      </c>
      <c r="H226" s="35">
        <f>'Asignación-Profesor'!Q84</f>
        <v>20</v>
      </c>
      <c r="I226" s="8"/>
      <c r="J226" s="8"/>
      <c r="K226" s="128" t="s">
        <v>333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3.5" customHeight="1">
      <c r="B227" s="62">
        <v>7.0</v>
      </c>
      <c r="C227" s="38" t="s">
        <v>196</v>
      </c>
      <c r="D227" s="35">
        <f t="shared" si="1"/>
        <v>2</v>
      </c>
      <c r="E227" s="92">
        <f>'Asignación-Profesor'!D85-D227</f>
        <v>0</v>
      </c>
      <c r="F227" s="35">
        <f t="shared" si="2"/>
        <v>2</v>
      </c>
      <c r="G227" s="35">
        <f>'Asignación-Profesor'!P85</f>
        <v>60</v>
      </c>
      <c r="H227" s="35">
        <f>'Asignación-Profesor'!Q85</f>
        <v>10</v>
      </c>
      <c r="I227" s="8"/>
      <c r="J227" s="8"/>
      <c r="K227" s="128" t="s">
        <v>333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3.5" customHeight="1">
      <c r="B228" s="62">
        <v>8.0</v>
      </c>
      <c r="C228" s="38" t="s">
        <v>191</v>
      </c>
      <c r="D228" s="35">
        <f t="shared" si="1"/>
        <v>3</v>
      </c>
      <c r="E228" s="92">
        <f>'Asignación-Profesor'!D86-D228</f>
        <v>0</v>
      </c>
      <c r="F228" s="35">
        <f t="shared" si="2"/>
        <v>3</v>
      </c>
      <c r="G228" s="35">
        <f>'Asignación-Profesor'!P86</f>
        <v>90</v>
      </c>
      <c r="H228" s="35">
        <f>'Asignación-Profesor'!Q86</f>
        <v>15</v>
      </c>
      <c r="I228" s="8"/>
      <c r="J228" s="8"/>
      <c r="K228" s="128" t="s">
        <v>333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3.5" customHeight="1">
      <c r="B229" s="62">
        <v>9.0</v>
      </c>
      <c r="C229" s="38" t="s">
        <v>33</v>
      </c>
      <c r="D229" s="35">
        <f t="shared" si="1"/>
        <v>4</v>
      </c>
      <c r="E229" s="92">
        <f>'Asignación-Profesor'!D87-D229</f>
        <v>0</v>
      </c>
      <c r="F229" s="35">
        <f t="shared" si="2"/>
        <v>4</v>
      </c>
      <c r="G229" s="35">
        <f>'Asignación-Profesor'!P87</f>
        <v>68</v>
      </c>
      <c r="H229" s="35">
        <f>'Asignación-Profesor'!Q87</f>
        <v>22</v>
      </c>
      <c r="I229" s="89"/>
      <c r="J229" s="89"/>
      <c r="K229" s="8" t="s">
        <v>336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3.5" customHeight="1">
      <c r="B230" s="62">
        <v>10.0</v>
      </c>
      <c r="C230" s="38" t="s">
        <v>51</v>
      </c>
      <c r="D230" s="35">
        <f t="shared" si="1"/>
        <v>4</v>
      </c>
      <c r="E230" s="92">
        <f>'Asignación-Profesor'!D88-D230</f>
        <v>0</v>
      </c>
      <c r="F230" s="35">
        <f t="shared" si="2"/>
        <v>4</v>
      </c>
      <c r="G230" s="35">
        <f>'Asignación-Profesor'!P88</f>
        <v>60</v>
      </c>
      <c r="H230" s="35">
        <f>'Asignación-Profesor'!Q88</f>
        <v>20</v>
      </c>
      <c r="I230" s="8"/>
      <c r="J230" s="8"/>
      <c r="K230" s="128" t="s">
        <v>333</v>
      </c>
      <c r="L230" s="82" t="s">
        <v>343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3.5" customHeight="1">
      <c r="B231" s="62">
        <v>11.0</v>
      </c>
      <c r="C231" s="38" t="s">
        <v>87</v>
      </c>
      <c r="D231" s="35">
        <f t="shared" si="1"/>
        <v>2</v>
      </c>
      <c r="E231" s="92">
        <f>'Asignación-Profesor'!D89-D231</f>
        <v>0</v>
      </c>
      <c r="F231" s="35">
        <f t="shared" si="2"/>
        <v>2</v>
      </c>
      <c r="G231" s="35">
        <f>'Asignación-Profesor'!P89</f>
        <v>0</v>
      </c>
      <c r="H231" s="35">
        <f>'Asignación-Profesor'!Q89</f>
        <v>10</v>
      </c>
      <c r="I231" s="8"/>
      <c r="J231" s="8"/>
      <c r="K231" s="128" t="s">
        <v>333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3.5" customHeight="1">
      <c r="B232" s="62">
        <v>12.0</v>
      </c>
      <c r="C232" s="38" t="s">
        <v>285</v>
      </c>
      <c r="D232" s="35">
        <f t="shared" si="1"/>
        <v>4</v>
      </c>
      <c r="E232" s="92">
        <f>'Asignación-Profesor'!D90-D232</f>
        <v>0</v>
      </c>
      <c r="F232" s="35">
        <f t="shared" si="2"/>
        <v>4</v>
      </c>
      <c r="G232" s="35">
        <f>'Asignación-Profesor'!P90</f>
        <v>143</v>
      </c>
      <c r="H232" s="35">
        <f>'Asignación-Profesor'!Q90</f>
        <v>20</v>
      </c>
      <c r="I232" s="8"/>
      <c r="J232" s="8"/>
      <c r="K232" s="139" t="s">
        <v>333</v>
      </c>
      <c r="L232" s="82" t="s">
        <v>351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3.5" customHeight="1">
      <c r="B233" s="62">
        <v>13.0</v>
      </c>
      <c r="C233" s="38" t="s">
        <v>176</v>
      </c>
      <c r="D233" s="35">
        <f t="shared" si="1"/>
        <v>3</v>
      </c>
      <c r="E233" s="92">
        <f>'Asignación-Profesor'!D91-D233</f>
        <v>0</v>
      </c>
      <c r="F233" s="35">
        <f t="shared" si="2"/>
        <v>3</v>
      </c>
      <c r="G233" s="35">
        <f>'Asignación-Profesor'!P91</f>
        <v>96</v>
      </c>
      <c r="H233" s="35">
        <f>'Asignación-Profesor'!Q91</f>
        <v>18</v>
      </c>
      <c r="I233" s="8"/>
      <c r="J233" s="8"/>
      <c r="K233" s="45" t="s">
        <v>336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3.5" customHeight="1">
      <c r="B234" s="62">
        <v>14.0</v>
      </c>
      <c r="C234" s="43" t="s">
        <v>97</v>
      </c>
      <c r="D234" s="35">
        <f t="shared" si="1"/>
        <v>4</v>
      </c>
      <c r="E234" s="92">
        <f>'Asignación-Profesor'!D92-D234</f>
        <v>1</v>
      </c>
      <c r="F234" s="35">
        <f t="shared" si="2"/>
        <v>5</v>
      </c>
      <c r="G234" s="35">
        <f>'Asignación-Profesor'!P92</f>
        <v>0</v>
      </c>
      <c r="H234" s="35">
        <f>'Asignación-Profesor'!Q92</f>
        <v>20</v>
      </c>
      <c r="I234" s="8"/>
      <c r="J234" s="8"/>
      <c r="K234" s="45" t="s">
        <v>336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3.5" customHeight="1">
      <c r="B235" s="62">
        <v>15.0</v>
      </c>
      <c r="C235" s="38" t="s">
        <v>74</v>
      </c>
      <c r="D235" s="35">
        <f t="shared" si="1"/>
        <v>4</v>
      </c>
      <c r="E235" s="92">
        <f>'Asignación-Profesor'!D93-D235</f>
        <v>0</v>
      </c>
      <c r="F235" s="35">
        <f t="shared" si="2"/>
        <v>4</v>
      </c>
      <c r="G235" s="35">
        <f>'Asignación-Profesor'!P93</f>
        <v>92</v>
      </c>
      <c r="H235" s="35">
        <f>'Asignación-Profesor'!Q93</f>
        <v>20</v>
      </c>
      <c r="I235" s="8"/>
      <c r="J235" s="8"/>
      <c r="K235" s="45" t="s">
        <v>336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3.5" customHeight="1">
      <c r="B236" s="62">
        <v>16.0</v>
      </c>
      <c r="C236" s="43" t="s">
        <v>39</v>
      </c>
      <c r="D236" s="35">
        <f t="shared" si="1"/>
        <v>6</v>
      </c>
      <c r="E236" s="92">
        <f>'Asignación-Profesor'!D94-D236</f>
        <v>0</v>
      </c>
      <c r="F236" s="35">
        <f t="shared" si="2"/>
        <v>6</v>
      </c>
      <c r="G236" s="35">
        <f>'Asignación-Profesor'!P94</f>
        <v>136</v>
      </c>
      <c r="H236" s="35">
        <f>'Asignación-Profesor'!Q94</f>
        <v>28</v>
      </c>
      <c r="I236" s="8"/>
      <c r="J236" s="8"/>
      <c r="K236" s="45" t="s">
        <v>336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3.5" customHeight="1">
      <c r="B237" s="62">
        <v>17.0</v>
      </c>
      <c r="C237" s="38" t="s">
        <v>194</v>
      </c>
      <c r="D237" s="35">
        <f t="shared" si="1"/>
        <v>4</v>
      </c>
      <c r="E237" s="92">
        <f>'Asignación-Profesor'!D95-D237</f>
        <v>0</v>
      </c>
      <c r="F237" s="35">
        <f t="shared" si="2"/>
        <v>4</v>
      </c>
      <c r="G237" s="35">
        <f>'Asignación-Profesor'!P95</f>
        <v>130</v>
      </c>
      <c r="H237" s="35">
        <f>'Asignación-Profesor'!Q95</f>
        <v>22</v>
      </c>
      <c r="I237" s="8"/>
      <c r="J237" s="142"/>
      <c r="K237" s="128" t="s">
        <v>333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3.5" customHeight="1">
      <c r="B238" s="62">
        <v>18.0</v>
      </c>
      <c r="C238" s="1" t="s">
        <v>158</v>
      </c>
      <c r="D238" s="35">
        <f t="shared" si="1"/>
        <v>4</v>
      </c>
      <c r="E238" s="92">
        <f>'Asignación-Profesor'!D96-D238</f>
        <v>0</v>
      </c>
      <c r="F238" s="35">
        <f t="shared" si="2"/>
        <v>4</v>
      </c>
      <c r="G238" s="35">
        <f>'Asignación-Profesor'!P96</f>
        <v>129</v>
      </c>
      <c r="H238" s="35">
        <f>'Asignación-Profesor'!Q96</f>
        <v>24</v>
      </c>
      <c r="I238" s="8"/>
      <c r="J238" s="143"/>
      <c r="K238" s="8" t="s">
        <v>336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3.5" customHeight="1">
      <c r="B239" s="62">
        <v>19.0</v>
      </c>
      <c r="C239" s="1" t="s">
        <v>92</v>
      </c>
      <c r="D239" s="35">
        <f t="shared" si="1"/>
        <v>4</v>
      </c>
      <c r="E239" s="92">
        <f>'Asignación-Profesor'!D97-D239</f>
        <v>0</v>
      </c>
      <c r="F239" s="35">
        <f t="shared" si="2"/>
        <v>4</v>
      </c>
      <c r="G239" s="35">
        <f>'Asignación-Profesor'!P97</f>
        <v>35</v>
      </c>
      <c r="H239" s="35">
        <f>'Asignación-Profesor'!Q97</f>
        <v>20</v>
      </c>
      <c r="I239" s="17"/>
      <c r="J239" s="146"/>
      <c r="K239" s="128" t="s">
        <v>333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3.5" customHeight="1">
      <c r="B240" s="62">
        <v>20.0</v>
      </c>
      <c r="C240" s="41" t="s">
        <v>355</v>
      </c>
      <c r="D240" s="35">
        <f t="shared" si="1"/>
        <v>0</v>
      </c>
      <c r="E240" s="92">
        <f>'Asignación-Profesor'!D98-D240</f>
        <v>0</v>
      </c>
      <c r="F240" s="35">
        <f t="shared" si="2"/>
        <v>0</v>
      </c>
      <c r="G240" s="35">
        <f>'Asignación-Profesor'!P98</f>
        <v>0</v>
      </c>
      <c r="H240" s="35">
        <f>'Asignación-Profesor'!Q98</f>
        <v>0</v>
      </c>
      <c r="I240" s="17"/>
      <c r="J240" s="146"/>
      <c r="K240" s="128" t="s">
        <v>333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3.5" customHeight="1">
      <c r="B241" s="62">
        <v>21.0</v>
      </c>
      <c r="C241" s="33" t="s">
        <v>14</v>
      </c>
      <c r="D241" s="35">
        <f t="shared" si="1"/>
        <v>4</v>
      </c>
      <c r="E241" s="92">
        <f>'Asignación-Profesor'!D99-D241</f>
        <v>0</v>
      </c>
      <c r="F241" s="35">
        <f t="shared" si="2"/>
        <v>4</v>
      </c>
      <c r="G241" s="35">
        <f>'Asignación-Profesor'!P99</f>
        <v>62</v>
      </c>
      <c r="H241" s="35">
        <f>'Asignación-Profesor'!Q99</f>
        <v>20</v>
      </c>
      <c r="I241" s="17"/>
      <c r="J241" s="9"/>
      <c r="K241" s="8" t="s">
        <v>336</v>
      </c>
      <c r="M241" s="11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3.5" customHeight="1">
      <c r="B242" s="62">
        <v>22.0</v>
      </c>
      <c r="C242" s="33" t="s">
        <v>187</v>
      </c>
      <c r="D242" s="35">
        <f t="shared" si="1"/>
        <v>3</v>
      </c>
      <c r="E242" s="92">
        <f>'Asignación-Profesor'!D100-D242</f>
        <v>0</v>
      </c>
      <c r="F242" s="35">
        <f t="shared" si="2"/>
        <v>3</v>
      </c>
      <c r="G242" s="35">
        <f>'Asignación-Profesor'!P100</f>
        <v>95</v>
      </c>
      <c r="H242" s="35">
        <f>'Asignación-Profesor'!Q100</f>
        <v>15</v>
      </c>
      <c r="I242" s="40"/>
      <c r="K242" s="139" t="s">
        <v>333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3.5" customHeight="1">
      <c r="B243" s="62">
        <v>23.0</v>
      </c>
      <c r="C243" s="1" t="s">
        <v>146</v>
      </c>
      <c r="D243" s="35">
        <f t="shared" si="1"/>
        <v>4</v>
      </c>
      <c r="E243" s="92">
        <f>'Asignación-Profesor'!D101-D243</f>
        <v>0</v>
      </c>
      <c r="F243" s="35">
        <f t="shared" si="2"/>
        <v>4</v>
      </c>
      <c r="G243" s="35">
        <f>'Asignación-Profesor'!P101</f>
        <v>70</v>
      </c>
      <c r="H243" s="35">
        <f>'Asignación-Profesor'!Q101</f>
        <v>22</v>
      </c>
      <c r="I243" s="40"/>
      <c r="K243" s="128" t="s">
        <v>333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3.5" customHeight="1">
      <c r="B244" s="62">
        <v>24.0</v>
      </c>
      <c r="C244" s="1" t="s">
        <v>67</v>
      </c>
      <c r="D244" s="35">
        <f t="shared" si="1"/>
        <v>3</v>
      </c>
      <c r="E244" s="92">
        <f>'Asignación-Profesor'!D102-D244</f>
        <v>0</v>
      </c>
      <c r="F244" s="35">
        <f t="shared" si="2"/>
        <v>3</v>
      </c>
      <c r="G244" s="35">
        <f>'Asignación-Profesor'!P102</f>
        <v>0</v>
      </c>
      <c r="H244" s="35">
        <f>'Asignación-Profesor'!Q102</f>
        <v>15</v>
      </c>
      <c r="I244" s="8"/>
      <c r="J244" s="147"/>
      <c r="K244" s="8"/>
      <c r="L244" s="9"/>
      <c r="M244" s="9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3.5" customHeight="1">
      <c r="B245" s="62">
        <v>25.0</v>
      </c>
      <c r="C245" s="1" t="s">
        <v>70</v>
      </c>
      <c r="D245" s="35">
        <f t="shared" si="1"/>
        <v>3</v>
      </c>
      <c r="E245" s="92">
        <f>'Asignación-Profesor'!D103-D245</f>
        <v>0</v>
      </c>
      <c r="F245" s="35">
        <f t="shared" si="2"/>
        <v>3</v>
      </c>
      <c r="G245" s="35">
        <f>'Asignación-Profesor'!P103</f>
        <v>72</v>
      </c>
      <c r="H245" s="35">
        <f>'Asignación-Profesor'!Q103</f>
        <v>14</v>
      </c>
      <c r="I245" s="147"/>
      <c r="K245" s="8"/>
      <c r="L245" s="9"/>
      <c r="M245" s="9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3.5" customHeight="1">
      <c r="B246" s="62">
        <v>26.0</v>
      </c>
      <c r="C246" s="145" t="s">
        <v>357</v>
      </c>
      <c r="D246" s="35"/>
      <c r="E246" s="92"/>
      <c r="F246" s="35"/>
      <c r="G246" s="9"/>
      <c r="H246" s="9"/>
      <c r="I246" s="147" t="s">
        <v>358</v>
      </c>
      <c r="K246" s="8"/>
      <c r="L246" s="9"/>
      <c r="M246" s="9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3.5" customHeight="1">
      <c r="B247" s="62">
        <v>27.0</v>
      </c>
      <c r="C247" s="145" t="s">
        <v>359</v>
      </c>
      <c r="D247" s="35"/>
      <c r="E247" s="92"/>
      <c r="F247" s="35"/>
      <c r="G247" s="9"/>
      <c r="H247" s="9"/>
      <c r="I247" s="147" t="s">
        <v>360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3.5" customHeight="1">
      <c r="B248" s="62">
        <v>28.0</v>
      </c>
      <c r="C248" s="148" t="s">
        <v>361</v>
      </c>
      <c r="D248" s="35"/>
      <c r="E248" s="92"/>
      <c r="F248" s="35"/>
      <c r="G248" s="9"/>
      <c r="H248" s="9"/>
      <c r="I248" s="82" t="s">
        <v>362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3.5" customHeight="1">
      <c r="B249" s="62">
        <v>29.0</v>
      </c>
      <c r="C249" s="148" t="s">
        <v>363</v>
      </c>
      <c r="D249" s="35"/>
      <c r="E249" s="92"/>
      <c r="F249" s="35"/>
      <c r="G249" s="9"/>
      <c r="H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3.5" customHeight="1">
      <c r="A250" s="9"/>
      <c r="B250" s="62">
        <v>30.0</v>
      </c>
      <c r="C250" s="148" t="s">
        <v>364</v>
      </c>
      <c r="D250" s="35"/>
      <c r="E250" s="92"/>
      <c r="F250" s="35"/>
      <c r="G250" s="9"/>
      <c r="H250" s="9" t="str">
        <f>'Asignación-Profesor'!Q111</f>
        <v/>
      </c>
      <c r="J250" s="44" t="s">
        <v>365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3.5" customHeight="1">
      <c r="A251" s="9"/>
      <c r="B251" s="62">
        <v>31.0</v>
      </c>
      <c r="C251" s="148" t="s">
        <v>366</v>
      </c>
      <c r="J251" s="44" t="s">
        <v>365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3.5" customHeight="1">
      <c r="B252" s="62">
        <v>32.0</v>
      </c>
      <c r="C252" s="148" t="s">
        <v>367</v>
      </c>
    </row>
    <row r="253" ht="13.5" customHeight="1">
      <c r="B253" s="62">
        <v>33.0</v>
      </c>
      <c r="C253" s="148" t="s">
        <v>368</v>
      </c>
      <c r="I253" s="8"/>
      <c r="J253" s="8"/>
      <c r="K253" s="128" t="s">
        <v>333</v>
      </c>
      <c r="L253" s="82" t="s">
        <v>369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3.5" customHeight="1">
      <c r="B254" s="149"/>
      <c r="C254" s="150"/>
      <c r="D254" s="151"/>
    </row>
    <row r="255" ht="13.5" customHeight="1">
      <c r="C255" s="150"/>
      <c r="D255" s="151"/>
    </row>
    <row r="256" ht="13.5" customHeight="1"/>
    <row r="257" ht="13.5" customHeight="1"/>
    <row r="258" ht="13.5" customHeight="1"/>
    <row r="259" ht="13.5" customHeight="1">
      <c r="C259" s="145"/>
    </row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">
    <mergeCell ref="A1:F1"/>
  </mergeCells>
  <conditionalFormatting sqref="F221:F251">
    <cfRule type="cellIs" dxfId="0" priority="1" operator="lessThan">
      <formula>3</formula>
    </cfRule>
  </conditionalFormatting>
  <conditionalFormatting sqref="F221:F251">
    <cfRule type="cellIs" dxfId="1" priority="2" operator="equal">
      <formula>3</formula>
    </cfRule>
  </conditionalFormatting>
  <conditionalFormatting sqref="F221:F251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0.71"/>
    <col customWidth="1" min="3" max="3" width="49.57"/>
    <col customWidth="1" min="4" max="4" width="18.0"/>
    <col customWidth="1" min="5" max="7" width="11.14"/>
    <col customWidth="1" min="8" max="8" width="11.71"/>
    <col customWidth="1" min="9" max="10" width="11.14"/>
    <col customWidth="1" min="11" max="11" width="48.43"/>
    <col customWidth="1" min="12" max="12" width="29.0"/>
    <col customWidth="1" min="13" max="13" width="58.43"/>
    <col customWidth="1" min="14" max="29" width="11.14"/>
  </cols>
  <sheetData>
    <row r="1">
      <c r="A1" s="2" t="s">
        <v>1</v>
      </c>
      <c r="B1" s="4"/>
      <c r="C1" s="4"/>
      <c r="D1" s="4"/>
      <c r="E1" s="4"/>
      <c r="F1" s="6"/>
      <c r="G1" s="152"/>
      <c r="H1" s="152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</row>
    <row r="2">
      <c r="A2" s="11"/>
      <c r="B2" s="12" t="s">
        <v>2</v>
      </c>
      <c r="C2" s="13" t="s">
        <v>3</v>
      </c>
      <c r="D2" s="13" t="s">
        <v>4</v>
      </c>
      <c r="E2" s="154" t="s">
        <v>5</v>
      </c>
      <c r="F2" s="13" t="s">
        <v>6</v>
      </c>
      <c r="G2" s="11"/>
      <c r="H2" s="13"/>
      <c r="I2" s="1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3.5" customHeight="1">
      <c r="B3" s="157" t="s">
        <v>370</v>
      </c>
      <c r="C3" s="158"/>
      <c r="D3" s="25"/>
      <c r="E3" s="159"/>
      <c r="F3" s="45"/>
    </row>
    <row r="4" ht="13.5" customHeight="1">
      <c r="B4" s="28" t="s">
        <v>371</v>
      </c>
      <c r="C4" s="96" t="s">
        <v>251</v>
      </c>
      <c r="D4" s="34" t="s">
        <v>252</v>
      </c>
      <c r="E4" s="161">
        <v>6.0</v>
      </c>
      <c r="F4" s="36">
        <v>25.0</v>
      </c>
      <c r="H4" s="162" t="s">
        <v>372</v>
      </c>
    </row>
    <row r="5" ht="13.5" customHeight="1">
      <c r="B5" s="28" t="s">
        <v>374</v>
      </c>
      <c r="C5" s="31" t="s">
        <v>290</v>
      </c>
      <c r="D5" s="34" t="s">
        <v>15</v>
      </c>
      <c r="E5" s="161">
        <v>6.0</v>
      </c>
      <c r="F5" s="36">
        <v>25.0</v>
      </c>
    </row>
    <row r="6" ht="13.5" customHeight="1">
      <c r="B6" s="28" t="s">
        <v>376</v>
      </c>
      <c r="C6" s="37" t="s">
        <v>278</v>
      </c>
      <c r="D6" s="34" t="s">
        <v>252</v>
      </c>
      <c r="E6" s="165">
        <v>5.0</v>
      </c>
      <c r="F6" s="36">
        <v>25.0</v>
      </c>
    </row>
    <row r="7" ht="13.5" customHeight="1">
      <c r="B7" s="28" t="s">
        <v>377</v>
      </c>
      <c r="C7" s="1" t="s">
        <v>322</v>
      </c>
      <c r="D7" s="167" t="s">
        <v>23</v>
      </c>
      <c r="E7" s="165">
        <v>6.0</v>
      </c>
      <c r="F7" s="36">
        <v>25.0</v>
      </c>
      <c r="K7" s="28"/>
      <c r="L7" s="96"/>
      <c r="M7" s="34"/>
    </row>
    <row r="8" ht="13.5" customHeight="1">
      <c r="B8" s="28" t="s">
        <v>27</v>
      </c>
      <c r="C8" s="168" t="s">
        <v>57</v>
      </c>
      <c r="D8" s="34" t="s">
        <v>381</v>
      </c>
      <c r="E8" s="165">
        <v>4.0</v>
      </c>
      <c r="F8" s="36">
        <v>25.0</v>
      </c>
      <c r="K8" s="28"/>
      <c r="L8" s="37"/>
      <c r="M8" s="34"/>
    </row>
    <row r="9" ht="13.5" customHeight="1">
      <c r="B9" s="45"/>
      <c r="C9" s="46"/>
      <c r="D9" s="45"/>
      <c r="E9" s="170"/>
      <c r="F9" s="45"/>
      <c r="K9" s="28"/>
      <c r="L9" s="168"/>
      <c r="M9" s="34"/>
    </row>
    <row r="10" ht="13.5" customHeight="1">
      <c r="B10" s="157" t="s">
        <v>385</v>
      </c>
      <c r="C10" s="48"/>
      <c r="D10" s="25"/>
      <c r="E10" s="159"/>
      <c r="F10" s="45"/>
      <c r="K10" s="28"/>
      <c r="L10" s="37"/>
      <c r="M10" s="34"/>
    </row>
    <row r="11" ht="13.5" customHeight="1">
      <c r="B11" s="28" t="s">
        <v>371</v>
      </c>
      <c r="C11" s="96" t="s">
        <v>251</v>
      </c>
      <c r="D11" s="34" t="s">
        <v>252</v>
      </c>
      <c r="E11" s="161">
        <v>6.0</v>
      </c>
      <c r="F11" s="36">
        <v>25.0</v>
      </c>
      <c r="H11" s="162" t="s">
        <v>372</v>
      </c>
      <c r="K11" s="28"/>
      <c r="L11" s="37"/>
      <c r="M11" s="34"/>
    </row>
    <row r="12" ht="13.5" customHeight="1">
      <c r="B12" s="28" t="s">
        <v>374</v>
      </c>
      <c r="C12" s="31" t="s">
        <v>290</v>
      </c>
      <c r="D12" s="34" t="s">
        <v>15</v>
      </c>
      <c r="E12" s="161">
        <v>6.0</v>
      </c>
      <c r="F12" s="36">
        <v>25.0</v>
      </c>
    </row>
    <row r="13" ht="13.5" customHeight="1">
      <c r="B13" s="28" t="s">
        <v>376</v>
      </c>
      <c r="C13" s="37" t="s">
        <v>278</v>
      </c>
      <c r="D13" s="34" t="s">
        <v>252</v>
      </c>
      <c r="E13" s="165">
        <v>5.0</v>
      </c>
      <c r="F13" s="36">
        <v>25.0</v>
      </c>
    </row>
    <row r="14" ht="13.5" customHeight="1">
      <c r="B14" s="28" t="s">
        <v>377</v>
      </c>
      <c r="C14" s="1" t="s">
        <v>322</v>
      </c>
      <c r="D14" s="167" t="s">
        <v>23</v>
      </c>
      <c r="E14" s="165">
        <v>6.0</v>
      </c>
      <c r="F14" s="36">
        <v>25.0</v>
      </c>
    </row>
    <row r="15" ht="13.5" customHeight="1">
      <c r="B15" s="28" t="s">
        <v>27</v>
      </c>
      <c r="C15" s="168" t="s">
        <v>148</v>
      </c>
      <c r="D15" s="34" t="s">
        <v>381</v>
      </c>
      <c r="E15" s="165">
        <v>4.0</v>
      </c>
      <c r="F15" s="36">
        <v>25.0</v>
      </c>
    </row>
    <row r="16" ht="13.5" customHeight="1">
      <c r="B16" s="172"/>
      <c r="C16" s="46"/>
      <c r="D16" s="45"/>
      <c r="E16" s="170"/>
      <c r="F16" s="45"/>
    </row>
    <row r="17" ht="13.5" customHeight="1">
      <c r="B17" s="157" t="s">
        <v>390</v>
      </c>
      <c r="C17" s="48"/>
      <c r="D17" s="25"/>
      <c r="E17" s="159"/>
      <c r="F17" s="25"/>
    </row>
    <row r="18" ht="13.5" customHeight="1">
      <c r="B18" s="173" t="s">
        <v>391</v>
      </c>
      <c r="C18" s="174" t="s">
        <v>392</v>
      </c>
      <c r="D18" s="34" t="s">
        <v>252</v>
      </c>
      <c r="E18" s="165">
        <v>5.0</v>
      </c>
      <c r="F18" s="36">
        <v>34.0</v>
      </c>
    </row>
    <row r="19" ht="13.5" customHeight="1">
      <c r="B19" s="173" t="s">
        <v>393</v>
      </c>
      <c r="C19" s="37" t="s">
        <v>278</v>
      </c>
      <c r="D19" s="34" t="s">
        <v>252</v>
      </c>
      <c r="E19" s="161">
        <v>5.0</v>
      </c>
      <c r="F19" s="36">
        <v>34.0</v>
      </c>
    </row>
    <row r="20" ht="13.5" customHeight="1">
      <c r="B20" s="173" t="s">
        <v>394</v>
      </c>
      <c r="C20" s="75"/>
      <c r="D20" s="34" t="s">
        <v>15</v>
      </c>
      <c r="E20" s="165">
        <v>5.0</v>
      </c>
      <c r="F20" s="36">
        <v>34.0</v>
      </c>
    </row>
    <row r="21" ht="13.5" customHeight="1">
      <c r="B21" s="173" t="s">
        <v>395</v>
      </c>
      <c r="C21" s="104" t="s">
        <v>396</v>
      </c>
      <c r="D21" s="34" t="s">
        <v>252</v>
      </c>
      <c r="E21" s="161">
        <v>5.0</v>
      </c>
      <c r="F21" s="36">
        <v>34.0</v>
      </c>
    </row>
    <row r="22" ht="13.5" customHeight="1">
      <c r="B22" s="173" t="s">
        <v>398</v>
      </c>
      <c r="C22" s="1" t="s">
        <v>322</v>
      </c>
      <c r="D22" s="167" t="s">
        <v>23</v>
      </c>
      <c r="E22" s="161">
        <v>5.0</v>
      </c>
      <c r="F22" s="36">
        <v>34.0</v>
      </c>
    </row>
    <row r="23" ht="13.5" customHeight="1">
      <c r="B23" s="176"/>
      <c r="C23" s="46"/>
      <c r="D23" s="45"/>
      <c r="E23" s="170"/>
      <c r="F23" s="45"/>
    </row>
    <row r="24" ht="13.5" customHeight="1">
      <c r="B24" s="160" t="s">
        <v>400</v>
      </c>
      <c r="C24" s="48"/>
      <c r="D24" s="25"/>
      <c r="E24" s="159"/>
      <c r="F24" s="45"/>
    </row>
    <row r="25" ht="13.5" customHeight="1">
      <c r="B25" s="28" t="s">
        <v>401</v>
      </c>
      <c r="C25" s="174" t="s">
        <v>392</v>
      </c>
      <c r="D25" s="34" t="s">
        <v>252</v>
      </c>
      <c r="E25" s="161">
        <v>6.0</v>
      </c>
      <c r="F25" s="36">
        <v>43.0</v>
      </c>
    </row>
    <row r="26" ht="13.5" customHeight="1">
      <c r="B26" s="28" t="s">
        <v>403</v>
      </c>
      <c r="C26" s="75"/>
      <c r="D26" s="34" t="s">
        <v>15</v>
      </c>
      <c r="E26" s="161">
        <v>5.0</v>
      </c>
      <c r="F26" s="36">
        <v>43.0</v>
      </c>
    </row>
    <row r="27" ht="13.5" customHeight="1">
      <c r="B27" s="28" t="s">
        <v>404</v>
      </c>
      <c r="C27" s="109" t="s">
        <v>298</v>
      </c>
      <c r="D27" s="34" t="s">
        <v>252</v>
      </c>
      <c r="E27" s="161">
        <v>5.0</v>
      </c>
      <c r="F27" s="36">
        <v>43.0</v>
      </c>
    </row>
    <row r="28" ht="13.5" customHeight="1">
      <c r="B28" s="28" t="s">
        <v>406</v>
      </c>
      <c r="C28" s="37" t="s">
        <v>109</v>
      </c>
      <c r="D28" s="36" t="s">
        <v>41</v>
      </c>
      <c r="E28" s="161">
        <v>5.0</v>
      </c>
      <c r="F28" s="36">
        <v>43.0</v>
      </c>
    </row>
    <row r="29" ht="13.5" customHeight="1">
      <c r="B29" s="28" t="s">
        <v>408</v>
      </c>
      <c r="C29" s="104" t="s">
        <v>273</v>
      </c>
      <c r="D29" s="34" t="s">
        <v>252</v>
      </c>
      <c r="E29" s="161">
        <v>4.0</v>
      </c>
      <c r="F29" s="36">
        <v>43.0</v>
      </c>
    </row>
    <row r="30" ht="13.5" customHeight="1">
      <c r="B30" s="45"/>
      <c r="C30" s="46"/>
      <c r="D30" s="45"/>
      <c r="E30" s="170"/>
      <c r="F30" s="45"/>
    </row>
    <row r="31" ht="13.5" customHeight="1">
      <c r="B31" s="160" t="s">
        <v>410</v>
      </c>
      <c r="C31" s="48"/>
      <c r="D31" s="25"/>
      <c r="E31" s="159"/>
      <c r="F31" s="45"/>
    </row>
    <row r="32" ht="13.5" customHeight="1">
      <c r="B32" s="28" t="s">
        <v>413</v>
      </c>
      <c r="C32" s="109" t="s">
        <v>298</v>
      </c>
      <c r="D32" s="34" t="s">
        <v>252</v>
      </c>
      <c r="E32" s="161">
        <v>6.0</v>
      </c>
      <c r="F32" s="36">
        <v>36.0</v>
      </c>
    </row>
    <row r="33" ht="13.5" customHeight="1">
      <c r="B33" s="28" t="s">
        <v>415</v>
      </c>
      <c r="C33" s="75"/>
      <c r="D33" s="34" t="s">
        <v>15</v>
      </c>
      <c r="E33" s="161">
        <v>4.0</v>
      </c>
      <c r="F33" s="36">
        <v>36.0</v>
      </c>
    </row>
    <row r="34" ht="13.5" customHeight="1">
      <c r="B34" s="28" t="s">
        <v>416</v>
      </c>
      <c r="C34" s="1" t="s">
        <v>322</v>
      </c>
      <c r="D34" s="167" t="s">
        <v>23</v>
      </c>
      <c r="E34" s="161">
        <v>4.0</v>
      </c>
      <c r="F34" s="36">
        <v>36.0</v>
      </c>
      <c r="H34" s="162" t="s">
        <v>372</v>
      </c>
    </row>
    <row r="35" ht="13.5" customHeight="1">
      <c r="B35" s="28" t="s">
        <v>417</v>
      </c>
      <c r="C35" s="104" t="s">
        <v>396</v>
      </c>
      <c r="D35" s="34" t="s">
        <v>252</v>
      </c>
      <c r="E35" s="161">
        <v>6.0</v>
      </c>
      <c r="F35" s="36">
        <v>36.0</v>
      </c>
    </row>
    <row r="36" ht="13.5" customHeight="1">
      <c r="B36" s="28" t="s">
        <v>418</v>
      </c>
      <c r="C36" s="96" t="s">
        <v>251</v>
      </c>
      <c r="D36" s="34" t="s">
        <v>252</v>
      </c>
      <c r="E36" s="161">
        <v>5.0</v>
      </c>
      <c r="F36" s="36">
        <v>36.0</v>
      </c>
    </row>
    <row r="37" ht="13.5" customHeight="1">
      <c r="B37" s="45"/>
      <c r="C37" s="46"/>
      <c r="D37" s="45"/>
      <c r="E37" s="170"/>
      <c r="F37" s="45"/>
    </row>
    <row r="38" ht="13.5" customHeight="1">
      <c r="B38" s="160" t="s">
        <v>420</v>
      </c>
      <c r="C38" s="48"/>
      <c r="D38" s="25"/>
      <c r="E38" s="159"/>
      <c r="F38" s="45"/>
    </row>
    <row r="39" ht="13.5" customHeight="1">
      <c r="B39" s="28" t="s">
        <v>421</v>
      </c>
      <c r="C39" s="37" t="s">
        <v>422</v>
      </c>
      <c r="D39" s="34" t="s">
        <v>252</v>
      </c>
      <c r="E39" s="161">
        <v>6.0</v>
      </c>
      <c r="F39" s="36">
        <v>34.0</v>
      </c>
    </row>
    <row r="40" ht="13.5" customHeight="1">
      <c r="B40" s="28" t="s">
        <v>275</v>
      </c>
      <c r="C40" s="37" t="s">
        <v>300</v>
      </c>
      <c r="D40" s="36" t="s">
        <v>48</v>
      </c>
      <c r="E40" s="161">
        <v>5.0</v>
      </c>
      <c r="F40" s="36">
        <v>34.0</v>
      </c>
    </row>
    <row r="41" ht="13.5" customHeight="1">
      <c r="B41" s="28" t="s">
        <v>424</v>
      </c>
      <c r="C41" s="104" t="s">
        <v>273</v>
      </c>
      <c r="D41" s="34" t="s">
        <v>252</v>
      </c>
      <c r="E41" s="161">
        <v>4.0</v>
      </c>
      <c r="F41" s="36">
        <v>34.0</v>
      </c>
    </row>
    <row r="42" ht="13.5" customHeight="1">
      <c r="B42" s="28" t="s">
        <v>425</v>
      </c>
      <c r="C42" s="177"/>
      <c r="D42" s="34"/>
      <c r="E42" s="161">
        <v>5.0</v>
      </c>
      <c r="F42" s="36">
        <v>34.0</v>
      </c>
    </row>
    <row r="43" ht="13.5" customHeight="1">
      <c r="B43" s="28" t="s">
        <v>428</v>
      </c>
      <c r="C43" s="104" t="s">
        <v>396</v>
      </c>
      <c r="D43" s="34" t="s">
        <v>252</v>
      </c>
      <c r="E43" s="161">
        <v>5.0</v>
      </c>
      <c r="F43" s="36">
        <v>34.0</v>
      </c>
    </row>
    <row r="44" ht="13.5" customHeight="1">
      <c r="A44" s="9"/>
      <c r="B44" s="47"/>
      <c r="C44" s="35"/>
      <c r="D44" s="35"/>
      <c r="E44" s="179"/>
      <c r="F44" s="47"/>
      <c r="G44" s="11"/>
      <c r="H44" s="11"/>
      <c r="I44" s="11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1"/>
      <c r="AC44" s="11"/>
    </row>
    <row r="45" ht="13.5" customHeight="1">
      <c r="A45" s="9"/>
      <c r="B45" s="47"/>
      <c r="C45" s="35"/>
      <c r="D45" s="35"/>
      <c r="E45" s="179"/>
      <c r="F45" s="47"/>
      <c r="G45" s="11"/>
      <c r="H45" s="11"/>
      <c r="I45" s="1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11"/>
      <c r="AC45" s="11"/>
    </row>
    <row r="46" ht="13.5" customHeight="1">
      <c r="A46" s="9"/>
      <c r="B46" s="47"/>
      <c r="C46" s="35"/>
      <c r="D46" s="35"/>
      <c r="E46" s="179"/>
      <c r="F46" s="47"/>
      <c r="G46" s="11"/>
      <c r="H46" s="11"/>
      <c r="I46" s="11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1"/>
      <c r="AC46" s="11"/>
    </row>
    <row r="47" ht="13.5" customHeight="1">
      <c r="A47" s="9"/>
      <c r="B47" s="47"/>
      <c r="C47" s="35"/>
      <c r="D47" s="35"/>
      <c r="E47" s="179"/>
      <c r="F47" s="47"/>
      <c r="G47" s="11"/>
      <c r="H47" s="11"/>
      <c r="I47" s="11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1"/>
      <c r="AC47" s="11"/>
    </row>
    <row r="48" ht="29.25" customHeight="1">
      <c r="A48" s="9"/>
      <c r="B48" s="47"/>
      <c r="C48" s="35"/>
      <c r="D48" s="35"/>
      <c r="E48" s="179"/>
      <c r="F48" s="47"/>
      <c r="G48" s="11"/>
      <c r="H48" s="181" t="s">
        <v>434</v>
      </c>
      <c r="I48" s="11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1"/>
      <c r="AC48" s="11"/>
    </row>
    <row r="49" ht="13.5" customHeight="1">
      <c r="A49" s="9"/>
      <c r="B49" s="47"/>
      <c r="C49" s="35"/>
      <c r="D49" s="35"/>
      <c r="E49" s="179"/>
      <c r="F49" s="47"/>
      <c r="G49" s="11"/>
      <c r="H49" s="11"/>
      <c r="I49" s="11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1"/>
      <c r="AC49" s="11"/>
    </row>
    <row r="50" ht="13.5" customHeight="1">
      <c r="A50" s="9"/>
      <c r="B50" s="47"/>
      <c r="C50" s="35"/>
      <c r="D50" s="35"/>
      <c r="E50" s="179"/>
      <c r="F50" s="47"/>
      <c r="G50" s="11"/>
      <c r="H50" s="11"/>
      <c r="I50" s="11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1"/>
      <c r="AC50" s="11"/>
    </row>
    <row r="51" ht="13.5" customHeight="1">
      <c r="A51" s="9"/>
      <c r="B51" s="47"/>
      <c r="C51" s="35"/>
      <c r="D51" s="35"/>
      <c r="E51" s="179"/>
      <c r="F51" s="47"/>
      <c r="G51" s="11"/>
      <c r="H51" s="11"/>
      <c r="I51" s="11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1"/>
      <c r="AC51" s="11"/>
    </row>
    <row r="52" ht="13.5" customHeight="1">
      <c r="A52" s="9"/>
      <c r="B52" s="47"/>
      <c r="C52" s="35"/>
      <c r="D52" s="35"/>
      <c r="E52" s="179"/>
      <c r="F52" s="47"/>
      <c r="G52" s="11"/>
      <c r="H52" s="11"/>
      <c r="I52" s="11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1"/>
      <c r="AC52" s="11"/>
    </row>
    <row r="53" ht="13.5" customHeight="1">
      <c r="A53" s="9"/>
      <c r="B53" s="47"/>
      <c r="C53" s="35"/>
      <c r="D53" s="35"/>
      <c r="E53" s="179"/>
      <c r="F53" s="47"/>
      <c r="G53" s="11"/>
      <c r="H53" s="11"/>
      <c r="I53" s="11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1"/>
      <c r="AC53" s="11"/>
    </row>
    <row r="54" ht="13.5" customHeight="1">
      <c r="A54" s="9"/>
      <c r="B54" s="47"/>
      <c r="C54" s="35"/>
      <c r="D54" s="35"/>
      <c r="E54" s="179"/>
      <c r="F54" s="47"/>
      <c r="G54" s="11"/>
      <c r="H54" s="11"/>
      <c r="I54" s="11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1"/>
      <c r="AC54" s="11"/>
    </row>
    <row r="55" ht="13.5" customHeight="1">
      <c r="A55" s="9"/>
      <c r="B55" s="47"/>
      <c r="C55" s="35"/>
      <c r="D55" s="35"/>
      <c r="E55" s="179"/>
      <c r="F55" s="47"/>
      <c r="G55" s="11"/>
      <c r="H55" s="11"/>
      <c r="I55" s="11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1"/>
      <c r="AC55" s="11"/>
    </row>
    <row r="56" ht="13.5" customHeight="1">
      <c r="A56" s="9"/>
      <c r="B56" s="47"/>
      <c r="C56" s="35"/>
      <c r="D56" s="35"/>
      <c r="E56" s="179"/>
      <c r="F56" s="182"/>
      <c r="G56" s="11"/>
      <c r="H56" s="11"/>
      <c r="I56" s="11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32.25" customHeight="1">
      <c r="A57" s="9"/>
      <c r="B57" s="86"/>
      <c r="C57" s="13" t="s">
        <v>444</v>
      </c>
      <c r="D57" s="13" t="s">
        <v>207</v>
      </c>
      <c r="E57" s="154" t="s">
        <v>208</v>
      </c>
      <c r="F57" s="13" t="s">
        <v>445</v>
      </c>
      <c r="G57" s="13" t="s">
        <v>210</v>
      </c>
      <c r="H57" s="13" t="s">
        <v>211</v>
      </c>
      <c r="I57" s="13" t="s">
        <v>212</v>
      </c>
      <c r="J57" s="13" t="s">
        <v>213</v>
      </c>
      <c r="K57" s="106" t="s">
        <v>214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3.5" customHeight="1">
      <c r="A58" s="9"/>
      <c r="B58" s="62">
        <v>1.0</v>
      </c>
      <c r="C58" s="37" t="s">
        <v>422</v>
      </c>
      <c r="D58" s="35">
        <f t="shared" ref="D58:D65" si="1">COUNTIF($C$4:$C$53,C58)</f>
        <v>1</v>
      </c>
      <c r="E58" s="183">
        <f>'Asignación-Profesor'!D114-D58</f>
        <v>0</v>
      </c>
      <c r="F58" s="35">
        <f t="shared" ref="F58:F65" si="2">E58+D58</f>
        <v>1</v>
      </c>
      <c r="G58" s="35">
        <f>'Asignación-Profesor'!P114</f>
        <v>34</v>
      </c>
      <c r="H58" s="35">
        <f>'Asignación-Profesor'!Q114</f>
        <v>6</v>
      </c>
      <c r="I58" s="186"/>
      <c r="J58" s="9"/>
      <c r="K58" s="187" t="s">
        <v>350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3.5" customHeight="1">
      <c r="A59" s="9"/>
      <c r="B59" s="62">
        <v>2.0</v>
      </c>
      <c r="C59" s="37" t="s">
        <v>372</v>
      </c>
      <c r="D59" s="35">
        <f t="shared" si="1"/>
        <v>0</v>
      </c>
      <c r="E59" s="183">
        <f>'Asignación-Profesor'!D115-D59</f>
        <v>0</v>
      </c>
      <c r="F59" s="35">
        <f t="shared" si="2"/>
        <v>0</v>
      </c>
      <c r="G59" s="35">
        <f>'Asignación-Profesor'!P115</f>
        <v>0</v>
      </c>
      <c r="H59" s="35">
        <f>'Asignación-Profesor'!Q115</f>
        <v>0</v>
      </c>
      <c r="I59" s="60"/>
      <c r="J59" s="9"/>
      <c r="K59" s="187" t="s">
        <v>353</v>
      </c>
      <c r="L59" s="189" t="s">
        <v>451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3.5" customHeight="1">
      <c r="A60" s="9"/>
      <c r="B60" s="62">
        <v>3.0</v>
      </c>
      <c r="C60" s="37" t="s">
        <v>278</v>
      </c>
      <c r="D60" s="35">
        <f t="shared" si="1"/>
        <v>3</v>
      </c>
      <c r="E60" s="183">
        <f>'Asignación-Profesor'!D116-D60</f>
        <v>2</v>
      </c>
      <c r="F60" s="35">
        <f t="shared" si="2"/>
        <v>5</v>
      </c>
      <c r="G60" s="35">
        <f>'Asignación-Profesor'!P116</f>
        <v>148</v>
      </c>
      <c r="H60" s="35">
        <f>'Asignación-Profesor'!Q116</f>
        <v>25</v>
      </c>
      <c r="I60" s="11"/>
      <c r="J60" s="9"/>
      <c r="K60" s="187" t="s">
        <v>353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3.5" customHeight="1">
      <c r="A61" s="9"/>
      <c r="B61" s="62">
        <v>4.0</v>
      </c>
      <c r="C61" s="104" t="s">
        <v>396</v>
      </c>
      <c r="D61" s="35">
        <f t="shared" si="1"/>
        <v>3</v>
      </c>
      <c r="E61" s="183">
        <f>'Asignación-Profesor'!D117-D61</f>
        <v>0</v>
      </c>
      <c r="F61" s="35">
        <f t="shared" si="2"/>
        <v>3</v>
      </c>
      <c r="G61" s="35">
        <f>'Asignación-Profesor'!P117</f>
        <v>104</v>
      </c>
      <c r="H61" s="35">
        <f>'Asignación-Profesor'!Q117</f>
        <v>16</v>
      </c>
      <c r="I61" s="60"/>
      <c r="J61" s="9"/>
      <c r="K61" s="190" t="s">
        <v>350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3.5" customHeight="1">
      <c r="A62" s="9"/>
      <c r="B62" s="62">
        <v>5.0</v>
      </c>
      <c r="C62" s="104" t="s">
        <v>273</v>
      </c>
      <c r="D62" s="35">
        <f t="shared" si="1"/>
        <v>2</v>
      </c>
      <c r="E62" s="183">
        <f>'Asignación-Profesor'!D118-D62</f>
        <v>2</v>
      </c>
      <c r="F62" s="35">
        <f t="shared" si="2"/>
        <v>4</v>
      </c>
      <c r="G62" s="35">
        <f>'Asignación-Profesor'!P118</f>
        <v>145</v>
      </c>
      <c r="H62" s="35">
        <f>'Asignación-Profesor'!Q118</f>
        <v>20</v>
      </c>
      <c r="I62" s="11"/>
      <c r="J62" s="9"/>
      <c r="K62" s="190" t="s">
        <v>350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3.5" customHeight="1">
      <c r="A63" s="9"/>
      <c r="B63" s="62">
        <v>6.0</v>
      </c>
      <c r="C63" s="174" t="s">
        <v>392</v>
      </c>
      <c r="D63" s="35">
        <f t="shared" si="1"/>
        <v>2</v>
      </c>
      <c r="E63" s="183">
        <f>'Asignación-Profesor'!D119-D63</f>
        <v>1</v>
      </c>
      <c r="F63" s="35">
        <f t="shared" si="2"/>
        <v>3</v>
      </c>
      <c r="G63" s="35">
        <f>'Asignación-Profesor'!P119</f>
        <v>77</v>
      </c>
      <c r="H63" s="35">
        <f>'Asignación-Profesor'!Q119</f>
        <v>15</v>
      </c>
      <c r="I63" s="11"/>
      <c r="J63" s="9"/>
      <c r="K63" s="190" t="s">
        <v>350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3.5" customHeight="1">
      <c r="A64" s="9"/>
      <c r="B64" s="62">
        <v>7.0</v>
      </c>
      <c r="C64" s="96" t="s">
        <v>251</v>
      </c>
      <c r="D64" s="35">
        <f t="shared" si="1"/>
        <v>3</v>
      </c>
      <c r="E64" s="183">
        <f>'Asignación-Profesor'!D120-D64</f>
        <v>2</v>
      </c>
      <c r="F64" s="35">
        <f t="shared" si="2"/>
        <v>5</v>
      </c>
      <c r="G64" s="35">
        <f>'Asignación-Profesor'!P120</f>
        <v>154</v>
      </c>
      <c r="H64" s="35">
        <f>'Asignación-Profesor'!Q120</f>
        <v>29</v>
      </c>
      <c r="I64" s="60"/>
      <c r="J64" s="9"/>
      <c r="K64" s="192" t="s">
        <v>350</v>
      </c>
      <c r="L64" s="193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3.5" customHeight="1">
      <c r="A65" s="9"/>
      <c r="B65" s="62">
        <v>8.0</v>
      </c>
      <c r="C65" s="109" t="s">
        <v>298</v>
      </c>
      <c r="D65" s="35">
        <f t="shared" si="1"/>
        <v>2</v>
      </c>
      <c r="E65" s="183">
        <f>'Asignación-Profesor'!D121-D65</f>
        <v>2</v>
      </c>
      <c r="F65" s="35">
        <f t="shared" si="2"/>
        <v>4</v>
      </c>
      <c r="G65" s="35">
        <f>'Asignación-Profesor'!P121</f>
        <v>143</v>
      </c>
      <c r="H65" s="35">
        <f>'Asignación-Profesor'!Q121</f>
        <v>21</v>
      </c>
      <c r="I65" s="195"/>
      <c r="J65" s="9"/>
      <c r="K65" s="192" t="s">
        <v>350</v>
      </c>
      <c r="L65" s="193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3.5" customHeight="1">
      <c r="A66" s="9"/>
      <c r="B66" s="62">
        <v>9.0</v>
      </c>
      <c r="C66" s="196" t="s">
        <v>453</v>
      </c>
      <c r="E66" s="197"/>
      <c r="H66" s="35"/>
      <c r="I66" s="7"/>
      <c r="J66" s="7"/>
      <c r="K66" s="102" t="s">
        <v>455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3.5" customHeight="1">
      <c r="A67" s="9"/>
      <c r="B67" s="62">
        <v>10.0</v>
      </c>
      <c r="C67" s="198" t="s">
        <v>456</v>
      </c>
      <c r="E67" s="197"/>
      <c r="H67" s="35"/>
      <c r="I67" s="7"/>
      <c r="J67" s="7"/>
      <c r="K67" s="102" t="s">
        <v>455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3.5" customHeight="1">
      <c r="A68" s="7"/>
      <c r="B68" s="62">
        <v>11.0</v>
      </c>
      <c r="C68" s="198" t="s">
        <v>457</v>
      </c>
      <c r="E68" s="197"/>
      <c r="I68" s="199"/>
      <c r="J68" s="200"/>
      <c r="K68" s="144" t="s">
        <v>458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3.5" customHeight="1">
      <c r="C69" s="162"/>
      <c r="E69" s="197"/>
    </row>
    <row r="70" ht="13.5" customHeight="1">
      <c r="C70" s="201"/>
      <c r="E70" s="197"/>
    </row>
    <row r="71" ht="13.5" customHeight="1">
      <c r="C71" s="201"/>
      <c r="E71" s="197"/>
    </row>
    <row r="72" ht="13.5" customHeight="1">
      <c r="C72" s="201"/>
      <c r="E72" s="197"/>
    </row>
    <row r="73" ht="13.5" customHeight="1">
      <c r="C73" s="201"/>
      <c r="E73" s="197"/>
    </row>
    <row r="74" ht="13.5" customHeight="1">
      <c r="C74" s="201"/>
      <c r="E74" s="197"/>
    </row>
    <row r="75" ht="13.5" customHeight="1">
      <c r="C75" s="201"/>
      <c r="E75" s="197"/>
    </row>
    <row r="76" ht="13.5" customHeight="1">
      <c r="C76" s="201"/>
      <c r="E76" s="197"/>
    </row>
    <row r="77" ht="13.5" customHeight="1">
      <c r="C77" s="201"/>
      <c r="E77" s="197"/>
    </row>
    <row r="78" ht="13.5" customHeight="1">
      <c r="C78" s="201"/>
      <c r="E78" s="197"/>
    </row>
    <row r="79" ht="13.5" customHeight="1">
      <c r="C79" s="201"/>
      <c r="E79" s="197"/>
    </row>
    <row r="80" ht="13.5" customHeight="1">
      <c r="C80" s="201"/>
      <c r="E80" s="197"/>
    </row>
    <row r="81" ht="13.5" customHeight="1">
      <c r="C81" s="201"/>
      <c r="E81" s="197"/>
    </row>
    <row r="82" ht="13.5" customHeight="1">
      <c r="C82" s="201"/>
      <c r="E82" s="197"/>
    </row>
    <row r="83" ht="13.5" customHeight="1">
      <c r="C83" s="201"/>
      <c r="E83" s="197"/>
    </row>
    <row r="84" ht="13.5" customHeight="1">
      <c r="C84" s="201"/>
      <c r="E84" s="197"/>
    </row>
    <row r="85" ht="13.5" customHeight="1">
      <c r="C85" s="201"/>
      <c r="E85" s="197"/>
    </row>
    <row r="86" ht="13.5" customHeight="1">
      <c r="C86" s="201"/>
      <c r="E86" s="197"/>
    </row>
    <row r="87" ht="13.5" customHeight="1">
      <c r="C87" s="201"/>
      <c r="E87" s="197"/>
    </row>
    <row r="88" ht="13.5" customHeight="1">
      <c r="C88" s="201"/>
      <c r="E88" s="197"/>
    </row>
    <row r="89" ht="13.5" customHeight="1">
      <c r="C89" s="201"/>
      <c r="E89" s="197"/>
    </row>
    <row r="90" ht="13.5" customHeight="1">
      <c r="C90" s="201"/>
      <c r="E90" s="197"/>
    </row>
    <row r="91" ht="13.5" customHeight="1">
      <c r="C91" s="201"/>
      <c r="E91" s="197"/>
    </row>
    <row r="92" ht="13.5" customHeight="1">
      <c r="C92" s="201"/>
      <c r="E92" s="197"/>
    </row>
    <row r="93" ht="13.5" customHeight="1">
      <c r="C93" s="201"/>
      <c r="E93" s="197"/>
    </row>
    <row r="94" ht="13.5" customHeight="1">
      <c r="C94" s="201"/>
      <c r="E94" s="197"/>
    </row>
    <row r="95" ht="13.5" customHeight="1">
      <c r="C95" s="201"/>
      <c r="E95" s="197"/>
    </row>
    <row r="96" ht="13.5" customHeight="1">
      <c r="C96" s="201"/>
      <c r="E96" s="197"/>
    </row>
    <row r="97" ht="13.5" customHeight="1">
      <c r="C97" s="201"/>
      <c r="E97" s="197"/>
    </row>
    <row r="98" ht="13.5" customHeight="1">
      <c r="C98" s="201"/>
      <c r="E98" s="197"/>
    </row>
    <row r="99" ht="13.5" customHeight="1">
      <c r="C99" s="201"/>
      <c r="E99" s="197"/>
    </row>
    <row r="100" ht="13.5" customHeight="1">
      <c r="C100" s="201"/>
      <c r="E100" s="197"/>
    </row>
    <row r="101" ht="13.5" customHeight="1">
      <c r="C101" s="201"/>
      <c r="E101" s="197"/>
    </row>
    <row r="102" ht="13.5" customHeight="1">
      <c r="C102" s="201"/>
      <c r="E102" s="197"/>
    </row>
    <row r="103" ht="13.5" customHeight="1">
      <c r="C103" s="201"/>
      <c r="E103" s="197"/>
    </row>
    <row r="104" ht="13.5" customHeight="1">
      <c r="C104" s="201"/>
      <c r="E104" s="197"/>
    </row>
    <row r="105" ht="13.5" customHeight="1">
      <c r="C105" s="201"/>
      <c r="E105" s="197"/>
    </row>
    <row r="106" ht="13.5" customHeight="1">
      <c r="C106" s="201"/>
      <c r="E106" s="197"/>
    </row>
    <row r="107" ht="13.5" customHeight="1">
      <c r="C107" s="201"/>
      <c r="E107" s="197"/>
    </row>
    <row r="108" ht="13.5" customHeight="1">
      <c r="C108" s="201"/>
      <c r="E108" s="197"/>
    </row>
    <row r="109" ht="13.5" customHeight="1">
      <c r="C109" s="201"/>
      <c r="E109" s="197"/>
    </row>
    <row r="110" ht="13.5" customHeight="1">
      <c r="C110" s="201"/>
      <c r="E110" s="197"/>
    </row>
    <row r="111" ht="13.5" customHeight="1">
      <c r="C111" s="201"/>
      <c r="E111" s="197"/>
    </row>
    <row r="112" ht="13.5" customHeight="1">
      <c r="C112" s="201"/>
      <c r="E112" s="197"/>
    </row>
    <row r="113" ht="13.5" customHeight="1">
      <c r="C113" s="201"/>
      <c r="E113" s="197"/>
    </row>
    <row r="114" ht="13.5" customHeight="1">
      <c r="C114" s="201"/>
      <c r="E114" s="197"/>
    </row>
    <row r="115" ht="13.5" customHeight="1">
      <c r="C115" s="201"/>
      <c r="E115" s="197"/>
    </row>
    <row r="116" ht="13.5" customHeight="1">
      <c r="C116" s="201"/>
      <c r="E116" s="197"/>
    </row>
    <row r="117" ht="13.5" customHeight="1">
      <c r="C117" s="201"/>
      <c r="E117" s="197"/>
    </row>
    <row r="118" ht="13.5" customHeight="1">
      <c r="C118" s="201"/>
      <c r="E118" s="197"/>
    </row>
    <row r="119" ht="13.5" customHeight="1">
      <c r="C119" s="201"/>
      <c r="E119" s="197"/>
    </row>
    <row r="120" ht="13.5" customHeight="1">
      <c r="C120" s="201"/>
      <c r="E120" s="197"/>
    </row>
    <row r="121" ht="13.5" customHeight="1">
      <c r="C121" s="201"/>
      <c r="E121" s="197"/>
    </row>
    <row r="122" ht="13.5" customHeight="1">
      <c r="C122" s="201"/>
      <c r="E122" s="197"/>
    </row>
    <row r="123" ht="13.5" customHeight="1">
      <c r="C123" s="201"/>
      <c r="E123" s="197"/>
    </row>
    <row r="124" ht="13.5" customHeight="1">
      <c r="C124" s="201"/>
      <c r="E124" s="197"/>
    </row>
    <row r="125" ht="13.5" customHeight="1">
      <c r="C125" s="201"/>
      <c r="E125" s="197"/>
    </row>
    <row r="126" ht="13.5" customHeight="1">
      <c r="C126" s="201"/>
      <c r="E126" s="197"/>
    </row>
    <row r="127" ht="13.5" customHeight="1">
      <c r="C127" s="201"/>
      <c r="E127" s="197"/>
    </row>
    <row r="128" ht="13.5" customHeight="1">
      <c r="C128" s="201"/>
      <c r="E128" s="197"/>
    </row>
    <row r="129" ht="13.5" customHeight="1">
      <c r="C129" s="201"/>
      <c r="E129" s="197"/>
    </row>
    <row r="130" ht="13.5" customHeight="1">
      <c r="C130" s="201"/>
      <c r="E130" s="197"/>
    </row>
    <row r="131" ht="13.5" customHeight="1">
      <c r="C131" s="201"/>
      <c r="E131" s="197"/>
    </row>
    <row r="132" ht="13.5" customHeight="1">
      <c r="C132" s="201"/>
      <c r="E132" s="197"/>
    </row>
    <row r="133" ht="13.5" customHeight="1">
      <c r="C133" s="201"/>
      <c r="E133" s="197"/>
    </row>
    <row r="134" ht="13.5" customHeight="1">
      <c r="C134" s="201"/>
      <c r="E134" s="197"/>
    </row>
    <row r="135" ht="13.5" customHeight="1">
      <c r="C135" s="201"/>
      <c r="E135" s="197"/>
    </row>
    <row r="136" ht="13.5" customHeight="1">
      <c r="C136" s="201"/>
      <c r="E136" s="197"/>
    </row>
    <row r="137" ht="13.5" customHeight="1">
      <c r="C137" s="201"/>
      <c r="E137" s="197"/>
    </row>
    <row r="138" ht="13.5" customHeight="1">
      <c r="C138" s="201"/>
      <c r="E138" s="197"/>
    </row>
    <row r="139" ht="13.5" customHeight="1">
      <c r="C139" s="201"/>
      <c r="E139" s="197"/>
    </row>
    <row r="140" ht="13.5" customHeight="1">
      <c r="C140" s="201"/>
      <c r="E140" s="197"/>
    </row>
    <row r="141" ht="13.5" customHeight="1">
      <c r="C141" s="201"/>
      <c r="E141" s="197"/>
    </row>
    <row r="142" ht="13.5" customHeight="1">
      <c r="C142" s="201"/>
      <c r="E142" s="197"/>
    </row>
    <row r="143" ht="13.5" customHeight="1">
      <c r="C143" s="201"/>
      <c r="E143" s="197"/>
    </row>
    <row r="144" ht="13.5" customHeight="1">
      <c r="C144" s="201"/>
      <c r="E144" s="197"/>
    </row>
    <row r="145" ht="13.5" customHeight="1">
      <c r="C145" s="201"/>
      <c r="E145" s="197"/>
    </row>
    <row r="146" ht="13.5" customHeight="1">
      <c r="C146" s="201"/>
      <c r="E146" s="197"/>
    </row>
    <row r="147" ht="13.5" customHeight="1">
      <c r="C147" s="201"/>
      <c r="E147" s="197"/>
    </row>
    <row r="148" ht="13.5" customHeight="1">
      <c r="C148" s="201"/>
      <c r="E148" s="197"/>
    </row>
    <row r="149" ht="13.5" customHeight="1">
      <c r="C149" s="201"/>
      <c r="E149" s="197"/>
    </row>
    <row r="150" ht="13.5" customHeight="1">
      <c r="C150" s="201"/>
      <c r="E150" s="197"/>
    </row>
    <row r="151" ht="13.5" customHeight="1">
      <c r="C151" s="201"/>
      <c r="E151" s="197"/>
    </row>
    <row r="152" ht="13.5" customHeight="1">
      <c r="C152" s="201"/>
      <c r="E152" s="197"/>
    </row>
    <row r="153" ht="13.5" customHeight="1">
      <c r="C153" s="201"/>
      <c r="E153" s="197"/>
    </row>
    <row r="154" ht="13.5" customHeight="1">
      <c r="C154" s="201"/>
      <c r="E154" s="197"/>
    </row>
    <row r="155" ht="13.5" customHeight="1">
      <c r="C155" s="201"/>
      <c r="E155" s="197"/>
    </row>
    <row r="156" ht="13.5" customHeight="1">
      <c r="C156" s="201"/>
      <c r="E156" s="197"/>
    </row>
    <row r="157" ht="13.5" customHeight="1">
      <c r="C157" s="201"/>
      <c r="E157" s="197"/>
    </row>
    <row r="158" ht="13.5" customHeight="1">
      <c r="C158" s="201"/>
      <c r="E158" s="197"/>
    </row>
    <row r="159" ht="13.5" customHeight="1">
      <c r="C159" s="201"/>
      <c r="E159" s="197"/>
    </row>
    <row r="160" ht="13.5" customHeight="1">
      <c r="C160" s="201"/>
      <c r="E160" s="197"/>
    </row>
    <row r="161" ht="13.5" customHeight="1">
      <c r="C161" s="201"/>
      <c r="E161" s="197"/>
    </row>
    <row r="162" ht="13.5" customHeight="1">
      <c r="C162" s="201"/>
      <c r="E162" s="197"/>
    </row>
    <row r="163" ht="13.5" customHeight="1">
      <c r="C163" s="201"/>
      <c r="E163" s="197"/>
    </row>
    <row r="164" ht="13.5" customHeight="1">
      <c r="C164" s="201"/>
      <c r="E164" s="197"/>
    </row>
    <row r="165" ht="13.5" customHeight="1">
      <c r="C165" s="201"/>
      <c r="E165" s="197"/>
    </row>
    <row r="166" ht="13.5" customHeight="1">
      <c r="C166" s="201"/>
      <c r="E166" s="197"/>
    </row>
    <row r="167" ht="13.5" customHeight="1">
      <c r="C167" s="201"/>
      <c r="E167" s="197"/>
    </row>
    <row r="168" ht="13.5" customHeight="1">
      <c r="C168" s="201"/>
      <c r="E168" s="197"/>
    </row>
    <row r="169" ht="13.5" customHeight="1">
      <c r="C169" s="201"/>
      <c r="E169" s="197"/>
    </row>
    <row r="170" ht="13.5" customHeight="1">
      <c r="C170" s="201"/>
      <c r="E170" s="197"/>
    </row>
    <row r="171" ht="13.5" customHeight="1">
      <c r="C171" s="201"/>
      <c r="E171" s="197"/>
    </row>
    <row r="172" ht="13.5" customHeight="1">
      <c r="C172" s="201"/>
      <c r="E172" s="197"/>
    </row>
    <row r="173" ht="13.5" customHeight="1">
      <c r="C173" s="201"/>
      <c r="E173" s="197"/>
    </row>
    <row r="174" ht="13.5" customHeight="1">
      <c r="C174" s="201"/>
      <c r="E174" s="197"/>
    </row>
    <row r="175" ht="13.5" customHeight="1">
      <c r="C175" s="201"/>
      <c r="E175" s="197"/>
    </row>
    <row r="176" ht="13.5" customHeight="1">
      <c r="C176" s="201"/>
      <c r="E176" s="197"/>
    </row>
    <row r="177" ht="13.5" customHeight="1">
      <c r="C177" s="201"/>
      <c r="E177" s="197"/>
    </row>
    <row r="178" ht="13.5" customHeight="1">
      <c r="C178" s="201"/>
      <c r="E178" s="197"/>
    </row>
    <row r="179" ht="13.5" customHeight="1">
      <c r="C179" s="201"/>
      <c r="E179" s="197"/>
    </row>
    <row r="180" ht="13.5" customHeight="1">
      <c r="C180" s="201"/>
      <c r="E180" s="197"/>
    </row>
    <row r="181" ht="13.5" customHeight="1">
      <c r="C181" s="201"/>
      <c r="E181" s="197"/>
    </row>
    <row r="182" ht="13.5" customHeight="1">
      <c r="C182" s="201"/>
      <c r="E182" s="197"/>
    </row>
    <row r="183" ht="13.5" customHeight="1">
      <c r="C183" s="201"/>
      <c r="E183" s="197"/>
    </row>
    <row r="184" ht="13.5" customHeight="1">
      <c r="C184" s="201"/>
      <c r="E184" s="197"/>
    </row>
    <row r="185" ht="13.5" customHeight="1">
      <c r="C185" s="201"/>
      <c r="E185" s="197"/>
    </row>
    <row r="186" ht="13.5" customHeight="1">
      <c r="C186" s="201"/>
      <c r="E186" s="197"/>
    </row>
    <row r="187" ht="13.5" customHeight="1">
      <c r="C187" s="201"/>
      <c r="E187" s="197"/>
    </row>
    <row r="188" ht="13.5" customHeight="1">
      <c r="C188" s="201"/>
      <c r="E188" s="197"/>
    </row>
    <row r="189" ht="13.5" customHeight="1">
      <c r="C189" s="201"/>
      <c r="E189" s="197"/>
    </row>
    <row r="190" ht="13.5" customHeight="1">
      <c r="C190" s="201"/>
      <c r="E190" s="197"/>
    </row>
    <row r="191" ht="13.5" customHeight="1">
      <c r="C191" s="201"/>
      <c r="E191" s="197"/>
    </row>
    <row r="192" ht="13.5" customHeight="1">
      <c r="C192" s="201"/>
      <c r="E192" s="197"/>
    </row>
    <row r="193" ht="13.5" customHeight="1">
      <c r="C193" s="201"/>
      <c r="E193" s="197"/>
    </row>
    <row r="194" ht="13.5" customHeight="1">
      <c r="C194" s="201"/>
      <c r="E194" s="197"/>
    </row>
    <row r="195" ht="13.5" customHeight="1">
      <c r="C195" s="201"/>
      <c r="E195" s="197"/>
    </row>
    <row r="196" ht="13.5" customHeight="1">
      <c r="C196" s="201"/>
      <c r="E196" s="197"/>
    </row>
    <row r="197" ht="13.5" customHeight="1">
      <c r="C197" s="201"/>
      <c r="E197" s="197"/>
    </row>
    <row r="198" ht="13.5" customHeight="1">
      <c r="C198" s="201"/>
      <c r="E198" s="197"/>
    </row>
    <row r="199" ht="13.5" customHeight="1">
      <c r="C199" s="201"/>
      <c r="E199" s="197"/>
    </row>
    <row r="200" ht="13.5" customHeight="1">
      <c r="C200" s="201"/>
      <c r="E200" s="197"/>
    </row>
    <row r="201" ht="13.5" customHeight="1">
      <c r="C201" s="201"/>
      <c r="E201" s="197"/>
    </row>
    <row r="202" ht="13.5" customHeight="1">
      <c r="C202" s="201"/>
      <c r="E202" s="197"/>
    </row>
    <row r="203" ht="13.5" customHeight="1">
      <c r="C203" s="201"/>
      <c r="E203" s="197"/>
    </row>
    <row r="204" ht="13.5" customHeight="1">
      <c r="C204" s="201"/>
      <c r="E204" s="197"/>
    </row>
    <row r="205" ht="13.5" customHeight="1">
      <c r="C205" s="201"/>
      <c r="E205" s="197"/>
    </row>
    <row r="206" ht="13.5" customHeight="1">
      <c r="C206" s="201"/>
      <c r="E206" s="197"/>
    </row>
    <row r="207" ht="13.5" customHeight="1">
      <c r="C207" s="201"/>
      <c r="E207" s="197"/>
    </row>
    <row r="208" ht="13.5" customHeight="1">
      <c r="C208" s="201"/>
      <c r="E208" s="197"/>
    </row>
    <row r="209" ht="13.5" customHeight="1">
      <c r="C209" s="201"/>
      <c r="E209" s="197"/>
    </row>
    <row r="210" ht="13.5" customHeight="1">
      <c r="C210" s="201"/>
      <c r="E210" s="197"/>
    </row>
    <row r="211" ht="13.5" customHeight="1">
      <c r="C211" s="201"/>
      <c r="E211" s="197"/>
    </row>
    <row r="212" ht="13.5" customHeight="1">
      <c r="C212" s="201"/>
      <c r="E212" s="197"/>
    </row>
    <row r="213" ht="13.5" customHeight="1">
      <c r="C213" s="201"/>
      <c r="E213" s="197"/>
    </row>
    <row r="214" ht="13.5" customHeight="1">
      <c r="C214" s="201"/>
      <c r="E214" s="197"/>
    </row>
    <row r="215" ht="13.5" customHeight="1">
      <c r="C215" s="201"/>
      <c r="E215" s="197"/>
    </row>
    <row r="216" ht="13.5" customHeight="1">
      <c r="C216" s="201"/>
      <c r="E216" s="197"/>
    </row>
    <row r="217" ht="13.5" customHeight="1">
      <c r="C217" s="201"/>
      <c r="E217" s="197"/>
    </row>
    <row r="218" ht="13.5" customHeight="1">
      <c r="C218" s="201"/>
      <c r="E218" s="197"/>
    </row>
    <row r="219" ht="13.5" customHeight="1">
      <c r="C219" s="201"/>
      <c r="E219" s="197"/>
    </row>
    <row r="220" ht="13.5" customHeight="1">
      <c r="C220" s="201"/>
      <c r="E220" s="197"/>
    </row>
    <row r="221" ht="13.5" customHeight="1">
      <c r="C221" s="201"/>
      <c r="E221" s="197"/>
    </row>
    <row r="222" ht="13.5" customHeight="1">
      <c r="C222" s="201"/>
      <c r="E222" s="197"/>
    </row>
    <row r="223" ht="13.5" customHeight="1">
      <c r="C223" s="201"/>
      <c r="E223" s="197"/>
    </row>
    <row r="224" ht="13.5" customHeight="1">
      <c r="C224" s="201"/>
      <c r="E224" s="197"/>
    </row>
    <row r="225" ht="13.5" customHeight="1">
      <c r="C225" s="201"/>
      <c r="E225" s="197"/>
    </row>
    <row r="226" ht="13.5" customHeight="1">
      <c r="C226" s="201"/>
      <c r="E226" s="197"/>
    </row>
    <row r="227" ht="13.5" customHeight="1">
      <c r="C227" s="201"/>
      <c r="E227" s="197"/>
    </row>
    <row r="228" ht="13.5" customHeight="1">
      <c r="C228" s="201"/>
      <c r="E228" s="197"/>
    </row>
    <row r="229" ht="13.5" customHeight="1">
      <c r="C229" s="201"/>
      <c r="E229" s="197"/>
    </row>
    <row r="230" ht="13.5" customHeight="1">
      <c r="C230" s="201"/>
      <c r="E230" s="197"/>
    </row>
    <row r="231" ht="13.5" customHeight="1">
      <c r="C231" s="201"/>
      <c r="E231" s="197"/>
    </row>
    <row r="232" ht="13.5" customHeight="1">
      <c r="C232" s="201"/>
      <c r="E232" s="197"/>
    </row>
    <row r="233" ht="13.5" customHeight="1">
      <c r="C233" s="201"/>
      <c r="E233" s="197"/>
    </row>
    <row r="234" ht="13.5" customHeight="1">
      <c r="C234" s="201"/>
      <c r="E234" s="197"/>
    </row>
    <row r="235" ht="13.5" customHeight="1">
      <c r="C235" s="201"/>
      <c r="E235" s="197"/>
    </row>
    <row r="236" ht="13.5" customHeight="1">
      <c r="C236" s="201"/>
      <c r="E236" s="197"/>
    </row>
    <row r="237" ht="13.5" customHeight="1">
      <c r="C237" s="201"/>
      <c r="E237" s="197"/>
    </row>
    <row r="238" ht="13.5" customHeight="1">
      <c r="C238" s="201"/>
      <c r="E238" s="197"/>
    </row>
    <row r="239" ht="13.5" customHeight="1">
      <c r="C239" s="201"/>
      <c r="E239" s="197"/>
    </row>
    <row r="240" ht="13.5" customHeight="1">
      <c r="C240" s="201"/>
      <c r="E240" s="197"/>
    </row>
    <row r="241" ht="13.5" customHeight="1">
      <c r="C241" s="201"/>
      <c r="E241" s="197"/>
    </row>
    <row r="242" ht="13.5" customHeight="1">
      <c r="C242" s="201"/>
      <c r="E242" s="197"/>
    </row>
    <row r="243" ht="13.5" customHeight="1">
      <c r="C243" s="201"/>
      <c r="E243" s="197"/>
    </row>
    <row r="244" ht="13.5" customHeight="1">
      <c r="C244" s="201"/>
      <c r="E244" s="197"/>
    </row>
    <row r="245" ht="13.5" customHeight="1">
      <c r="C245" s="201"/>
      <c r="E245" s="197"/>
    </row>
    <row r="246" ht="13.5" customHeight="1">
      <c r="C246" s="201"/>
      <c r="E246" s="197"/>
    </row>
    <row r="247" ht="13.5" customHeight="1">
      <c r="C247" s="201"/>
      <c r="E247" s="197"/>
    </row>
    <row r="248" ht="13.5" customHeight="1">
      <c r="C248" s="201"/>
      <c r="E248" s="197"/>
    </row>
    <row r="249" ht="13.5" customHeight="1">
      <c r="C249" s="201"/>
      <c r="E249" s="197"/>
    </row>
    <row r="250" ht="13.5" customHeight="1">
      <c r="C250" s="201"/>
      <c r="E250" s="197"/>
    </row>
    <row r="251" ht="13.5" customHeight="1">
      <c r="C251" s="201"/>
      <c r="E251" s="197"/>
    </row>
    <row r="252" ht="13.5" customHeight="1">
      <c r="C252" s="201"/>
      <c r="E252" s="197"/>
    </row>
    <row r="253" ht="13.5" customHeight="1">
      <c r="C253" s="201"/>
      <c r="E253" s="197"/>
    </row>
    <row r="254" ht="13.5" customHeight="1">
      <c r="C254" s="201"/>
      <c r="E254" s="197"/>
    </row>
    <row r="255" ht="13.5" customHeight="1">
      <c r="C255" s="201"/>
      <c r="E255" s="197"/>
    </row>
    <row r="256" ht="13.5" customHeight="1">
      <c r="C256" s="201"/>
      <c r="E256" s="197"/>
    </row>
    <row r="257" ht="13.5" customHeight="1">
      <c r="C257" s="201"/>
      <c r="E257" s="197"/>
    </row>
    <row r="258" ht="13.5" customHeight="1">
      <c r="C258" s="201"/>
      <c r="E258" s="197"/>
    </row>
    <row r="259" ht="13.5" customHeight="1">
      <c r="C259" s="201"/>
      <c r="E259" s="197"/>
    </row>
    <row r="260" ht="13.5" customHeight="1">
      <c r="C260" s="201"/>
      <c r="E260" s="197"/>
    </row>
    <row r="261" ht="13.5" customHeight="1">
      <c r="C261" s="201"/>
      <c r="E261" s="197"/>
    </row>
    <row r="262" ht="13.5" customHeight="1">
      <c r="C262" s="201"/>
      <c r="E262" s="197"/>
    </row>
    <row r="263" ht="13.5" customHeight="1">
      <c r="C263" s="201"/>
      <c r="E263" s="197"/>
    </row>
    <row r="264" ht="15.75" customHeight="1">
      <c r="C264" s="201"/>
      <c r="E264" s="197"/>
    </row>
    <row r="265" ht="15.75" customHeight="1">
      <c r="C265" s="201"/>
      <c r="E265" s="197"/>
    </row>
    <row r="266" ht="15.75" customHeight="1">
      <c r="C266" s="201"/>
      <c r="E266" s="197"/>
    </row>
    <row r="267" ht="15.75" customHeight="1">
      <c r="C267" s="201"/>
      <c r="E267" s="197"/>
    </row>
    <row r="268" ht="15.75" customHeight="1">
      <c r="C268" s="201"/>
      <c r="E268" s="197"/>
    </row>
    <row r="269" ht="15.75" customHeight="1">
      <c r="C269" s="201"/>
      <c r="E269" s="197"/>
    </row>
    <row r="270" ht="15.75" customHeight="1">
      <c r="C270" s="201"/>
      <c r="E270" s="197"/>
    </row>
    <row r="271" ht="15.75" customHeight="1">
      <c r="C271" s="201"/>
      <c r="E271" s="197"/>
    </row>
    <row r="272" ht="15.75" customHeight="1">
      <c r="C272" s="201"/>
      <c r="E272" s="197"/>
    </row>
    <row r="273" ht="15.75" customHeight="1">
      <c r="C273" s="201"/>
      <c r="E273" s="197"/>
    </row>
    <row r="274" ht="15.75" customHeight="1">
      <c r="C274" s="201"/>
      <c r="E274" s="197"/>
    </row>
    <row r="275" ht="15.75" customHeight="1">
      <c r="C275" s="201"/>
      <c r="E275" s="197"/>
    </row>
    <row r="276" ht="15.75" customHeight="1">
      <c r="C276" s="201"/>
      <c r="E276" s="197"/>
    </row>
    <row r="277" ht="15.75" customHeight="1">
      <c r="C277" s="201"/>
      <c r="E277" s="197"/>
    </row>
    <row r="278" ht="15.75" customHeight="1">
      <c r="C278" s="201"/>
      <c r="E278" s="197"/>
    </row>
    <row r="279" ht="15.75" customHeight="1">
      <c r="C279" s="201"/>
      <c r="E279" s="197"/>
    </row>
    <row r="280" ht="15.75" customHeight="1">
      <c r="C280" s="201"/>
      <c r="E280" s="197"/>
    </row>
    <row r="281" ht="15.75" customHeight="1">
      <c r="C281" s="201"/>
      <c r="E281" s="197"/>
    </row>
    <row r="282" ht="15.75" customHeight="1">
      <c r="C282" s="201"/>
      <c r="E282" s="197"/>
    </row>
    <row r="283" ht="15.75" customHeight="1">
      <c r="C283" s="201"/>
      <c r="E283" s="197"/>
    </row>
    <row r="284" ht="15.75" customHeight="1">
      <c r="C284" s="201"/>
      <c r="E284" s="197"/>
    </row>
    <row r="285" ht="15.75" customHeight="1">
      <c r="C285" s="201"/>
      <c r="E285" s="197"/>
    </row>
    <row r="286" ht="15.75" customHeight="1">
      <c r="C286" s="201"/>
      <c r="E286" s="197"/>
    </row>
    <row r="287" ht="15.75" customHeight="1">
      <c r="C287" s="201"/>
      <c r="E287" s="197"/>
    </row>
    <row r="288" ht="15.75" customHeight="1">
      <c r="C288" s="201"/>
      <c r="E288" s="197"/>
    </row>
    <row r="289" ht="15.75" customHeight="1">
      <c r="C289" s="201"/>
      <c r="E289" s="197"/>
    </row>
    <row r="290" ht="15.75" customHeight="1">
      <c r="C290" s="201"/>
      <c r="E290" s="197"/>
    </row>
    <row r="291" ht="15.75" customHeight="1">
      <c r="C291" s="201"/>
      <c r="E291" s="197"/>
    </row>
    <row r="292" ht="15.75" customHeight="1">
      <c r="C292" s="201"/>
      <c r="E292" s="197"/>
    </row>
    <row r="293" ht="15.75" customHeight="1">
      <c r="C293" s="201"/>
      <c r="E293" s="197"/>
    </row>
    <row r="294" ht="15.75" customHeight="1">
      <c r="C294" s="201"/>
      <c r="E294" s="197"/>
    </row>
    <row r="295" ht="15.75" customHeight="1">
      <c r="C295" s="201"/>
      <c r="E295" s="197"/>
    </row>
    <row r="296" ht="15.75" customHeight="1">
      <c r="C296" s="201"/>
      <c r="E296" s="197"/>
    </row>
    <row r="297" ht="15.75" customHeight="1">
      <c r="C297" s="201"/>
      <c r="E297" s="197"/>
    </row>
    <row r="298" ht="15.75" customHeight="1">
      <c r="C298" s="201"/>
      <c r="E298" s="197"/>
    </row>
    <row r="299" ht="15.75" customHeight="1">
      <c r="C299" s="201"/>
      <c r="E299" s="197"/>
    </row>
    <row r="300" ht="15.75" customHeight="1">
      <c r="C300" s="201"/>
      <c r="E300" s="197"/>
    </row>
    <row r="301" ht="15.75" customHeight="1">
      <c r="C301" s="201"/>
      <c r="E301" s="197"/>
    </row>
    <row r="302" ht="15.75" customHeight="1">
      <c r="C302" s="201"/>
      <c r="E302" s="197"/>
    </row>
    <row r="303" ht="15.75" customHeight="1">
      <c r="C303" s="201"/>
      <c r="E303" s="197"/>
    </row>
    <row r="304" ht="15.75" customHeight="1">
      <c r="C304" s="201"/>
      <c r="E304" s="197"/>
    </row>
    <row r="305" ht="15.75" customHeight="1">
      <c r="C305" s="201"/>
      <c r="E305" s="197"/>
    </row>
    <row r="306" ht="15.75" customHeight="1">
      <c r="C306" s="201"/>
      <c r="E306" s="197"/>
    </row>
    <row r="307" ht="15.75" customHeight="1">
      <c r="C307" s="201"/>
      <c r="E307" s="197"/>
    </row>
    <row r="308" ht="15.75" customHeight="1">
      <c r="C308" s="201"/>
      <c r="E308" s="197"/>
    </row>
    <row r="309" ht="15.75" customHeight="1">
      <c r="C309" s="201"/>
      <c r="E309" s="197"/>
    </row>
    <row r="310" ht="15.75" customHeight="1">
      <c r="C310" s="201"/>
      <c r="E310" s="197"/>
    </row>
    <row r="311" ht="15.75" customHeight="1">
      <c r="C311" s="201"/>
      <c r="E311" s="197"/>
    </row>
    <row r="312" ht="15.75" customHeight="1">
      <c r="C312" s="201"/>
      <c r="E312" s="197"/>
    </row>
    <row r="313" ht="15.75" customHeight="1">
      <c r="C313" s="201"/>
      <c r="E313" s="197"/>
    </row>
    <row r="314" ht="15.75" customHeight="1">
      <c r="C314" s="201"/>
      <c r="E314" s="197"/>
    </row>
    <row r="315" ht="15.75" customHeight="1">
      <c r="C315" s="201"/>
      <c r="E315" s="197"/>
    </row>
    <row r="316" ht="15.75" customHeight="1">
      <c r="C316" s="201"/>
      <c r="E316" s="197"/>
    </row>
    <row r="317" ht="15.75" customHeight="1">
      <c r="C317" s="201"/>
      <c r="E317" s="197"/>
    </row>
    <row r="318" ht="15.75" customHeight="1">
      <c r="C318" s="201"/>
      <c r="E318" s="197"/>
    </row>
    <row r="319" ht="15.75" customHeight="1">
      <c r="C319" s="201"/>
      <c r="E319" s="197"/>
    </row>
    <row r="320" ht="15.75" customHeight="1">
      <c r="C320" s="201"/>
      <c r="E320" s="197"/>
    </row>
    <row r="321" ht="15.75" customHeight="1">
      <c r="C321" s="201"/>
      <c r="E321" s="197"/>
    </row>
    <row r="322" ht="15.75" customHeight="1">
      <c r="C322" s="201"/>
      <c r="E322" s="197"/>
    </row>
    <row r="323" ht="15.75" customHeight="1">
      <c r="C323" s="201"/>
      <c r="E323" s="197"/>
    </row>
    <row r="324" ht="15.75" customHeight="1">
      <c r="C324" s="201"/>
      <c r="E324" s="197"/>
    </row>
    <row r="325" ht="15.75" customHeight="1">
      <c r="C325" s="201"/>
      <c r="E325" s="197"/>
    </row>
    <row r="326" ht="15.75" customHeight="1">
      <c r="C326" s="201"/>
      <c r="E326" s="197"/>
    </row>
    <row r="327" ht="15.75" customHeight="1">
      <c r="C327" s="201"/>
      <c r="E327" s="197"/>
    </row>
    <row r="328" ht="15.75" customHeight="1">
      <c r="C328" s="201"/>
      <c r="E328" s="197"/>
    </row>
    <row r="329" ht="15.75" customHeight="1">
      <c r="C329" s="201"/>
      <c r="E329" s="197"/>
    </row>
    <row r="330" ht="15.75" customHeight="1">
      <c r="C330" s="201"/>
      <c r="E330" s="197"/>
    </row>
    <row r="331" ht="15.75" customHeight="1">
      <c r="C331" s="201"/>
      <c r="E331" s="197"/>
    </row>
    <row r="332" ht="15.75" customHeight="1">
      <c r="C332" s="201"/>
      <c r="E332" s="197"/>
    </row>
    <row r="333" ht="15.75" customHeight="1">
      <c r="C333" s="201"/>
      <c r="E333" s="197"/>
    </row>
    <row r="334" ht="15.75" customHeight="1">
      <c r="C334" s="201"/>
      <c r="E334" s="197"/>
    </row>
    <row r="335" ht="15.75" customHeight="1">
      <c r="C335" s="201"/>
      <c r="E335" s="197"/>
    </row>
    <row r="336" ht="15.75" customHeight="1">
      <c r="C336" s="201"/>
      <c r="E336" s="197"/>
    </row>
    <row r="337" ht="15.75" customHeight="1">
      <c r="C337" s="201"/>
      <c r="E337" s="197"/>
    </row>
    <row r="338" ht="15.75" customHeight="1">
      <c r="C338" s="201"/>
      <c r="E338" s="197"/>
    </row>
    <row r="339" ht="15.75" customHeight="1">
      <c r="C339" s="201"/>
      <c r="E339" s="197"/>
    </row>
    <row r="340" ht="15.75" customHeight="1">
      <c r="C340" s="201"/>
      <c r="E340" s="197"/>
    </row>
    <row r="341" ht="15.75" customHeight="1">
      <c r="C341" s="201"/>
      <c r="E341" s="197"/>
    </row>
    <row r="342" ht="15.75" customHeight="1">
      <c r="C342" s="201"/>
      <c r="E342" s="197"/>
    </row>
    <row r="343" ht="15.75" customHeight="1">
      <c r="C343" s="201"/>
      <c r="E343" s="197"/>
    </row>
    <row r="344" ht="15.75" customHeight="1">
      <c r="C344" s="201"/>
      <c r="E344" s="197"/>
    </row>
    <row r="345" ht="15.75" customHeight="1">
      <c r="C345" s="201"/>
      <c r="E345" s="197"/>
    </row>
    <row r="346" ht="15.75" customHeight="1">
      <c r="C346" s="201"/>
      <c r="E346" s="197"/>
    </row>
    <row r="347" ht="15.75" customHeight="1">
      <c r="C347" s="201"/>
      <c r="E347" s="197"/>
    </row>
    <row r="348" ht="15.75" customHeight="1">
      <c r="C348" s="201"/>
      <c r="E348" s="197"/>
    </row>
    <row r="349" ht="15.75" customHeight="1">
      <c r="C349" s="201"/>
      <c r="E349" s="197"/>
    </row>
    <row r="350" ht="15.75" customHeight="1">
      <c r="C350" s="201"/>
      <c r="E350" s="197"/>
    </row>
    <row r="351" ht="15.75" customHeight="1">
      <c r="C351" s="201"/>
      <c r="E351" s="197"/>
    </row>
    <row r="352" ht="15.75" customHeight="1">
      <c r="C352" s="201"/>
      <c r="E352" s="197"/>
    </row>
    <row r="353" ht="15.75" customHeight="1">
      <c r="C353" s="201"/>
      <c r="E353" s="197"/>
    </row>
    <row r="354" ht="15.75" customHeight="1">
      <c r="C354" s="201"/>
      <c r="E354" s="197"/>
    </row>
    <row r="355" ht="15.75" customHeight="1">
      <c r="C355" s="201"/>
      <c r="E355" s="197"/>
    </row>
    <row r="356" ht="15.75" customHeight="1">
      <c r="C356" s="201"/>
      <c r="E356" s="197"/>
    </row>
    <row r="357" ht="15.75" customHeight="1">
      <c r="C357" s="201"/>
      <c r="E357" s="197"/>
    </row>
    <row r="358" ht="15.75" customHeight="1">
      <c r="C358" s="201"/>
      <c r="E358" s="197"/>
    </row>
    <row r="359" ht="15.75" customHeight="1">
      <c r="C359" s="201"/>
      <c r="E359" s="197"/>
    </row>
    <row r="360" ht="15.75" customHeight="1">
      <c r="C360" s="201"/>
      <c r="E360" s="197"/>
    </row>
    <row r="361" ht="15.75" customHeight="1">
      <c r="C361" s="201"/>
      <c r="E361" s="197"/>
    </row>
    <row r="362" ht="15.75" customHeight="1">
      <c r="C362" s="201"/>
      <c r="E362" s="197"/>
    </row>
    <row r="363" ht="15.75" customHeight="1">
      <c r="C363" s="201"/>
      <c r="E363" s="197"/>
    </row>
    <row r="364" ht="15.75" customHeight="1">
      <c r="C364" s="201"/>
      <c r="E364" s="197"/>
    </row>
    <row r="365" ht="15.75" customHeight="1">
      <c r="C365" s="201"/>
      <c r="E365" s="197"/>
    </row>
    <row r="366" ht="15.75" customHeight="1">
      <c r="C366" s="201"/>
      <c r="E366" s="197"/>
    </row>
    <row r="367" ht="15.75" customHeight="1">
      <c r="C367" s="201"/>
      <c r="E367" s="197"/>
    </row>
    <row r="368" ht="15.75" customHeight="1">
      <c r="C368" s="201"/>
      <c r="E368" s="197"/>
    </row>
    <row r="369" ht="15.75" customHeight="1">
      <c r="C369" s="201"/>
      <c r="E369" s="197"/>
    </row>
    <row r="370" ht="15.75" customHeight="1">
      <c r="C370" s="201"/>
      <c r="E370" s="197"/>
    </row>
    <row r="371" ht="15.75" customHeight="1">
      <c r="C371" s="201"/>
      <c r="E371" s="197"/>
    </row>
    <row r="372" ht="15.75" customHeight="1">
      <c r="C372" s="201"/>
      <c r="E372" s="197"/>
    </row>
    <row r="373" ht="15.75" customHeight="1">
      <c r="C373" s="201"/>
      <c r="E373" s="197"/>
    </row>
    <row r="374" ht="15.75" customHeight="1">
      <c r="C374" s="201"/>
      <c r="E374" s="197"/>
    </row>
    <row r="375" ht="15.75" customHeight="1">
      <c r="C375" s="201"/>
      <c r="E375" s="197"/>
    </row>
    <row r="376" ht="15.75" customHeight="1">
      <c r="C376" s="201"/>
      <c r="E376" s="197"/>
    </row>
    <row r="377" ht="15.75" customHeight="1">
      <c r="C377" s="201"/>
      <c r="E377" s="197"/>
    </row>
    <row r="378" ht="15.75" customHeight="1">
      <c r="C378" s="201"/>
      <c r="E378" s="197"/>
    </row>
    <row r="379" ht="15.75" customHeight="1">
      <c r="C379" s="201"/>
      <c r="E379" s="197"/>
    </row>
    <row r="380" ht="15.75" customHeight="1">
      <c r="C380" s="201"/>
      <c r="E380" s="197"/>
    </row>
    <row r="381" ht="15.75" customHeight="1">
      <c r="C381" s="201"/>
      <c r="E381" s="197"/>
    </row>
    <row r="382" ht="15.75" customHeight="1">
      <c r="C382" s="201"/>
      <c r="E382" s="197"/>
    </row>
    <row r="383" ht="15.75" customHeight="1">
      <c r="C383" s="201"/>
      <c r="E383" s="197"/>
    </row>
    <row r="384" ht="15.75" customHeight="1">
      <c r="C384" s="201"/>
      <c r="E384" s="197"/>
    </row>
    <row r="385" ht="15.75" customHeight="1">
      <c r="C385" s="201"/>
      <c r="E385" s="197"/>
    </row>
    <row r="386" ht="15.75" customHeight="1">
      <c r="C386" s="201"/>
      <c r="E386" s="197"/>
    </row>
    <row r="387" ht="15.75" customHeight="1">
      <c r="C387" s="201"/>
      <c r="E387" s="197"/>
    </row>
    <row r="388" ht="15.75" customHeight="1">
      <c r="C388" s="201"/>
      <c r="E388" s="197"/>
    </row>
    <row r="389" ht="15.75" customHeight="1">
      <c r="C389" s="201"/>
      <c r="E389" s="197"/>
    </row>
    <row r="390" ht="15.75" customHeight="1">
      <c r="C390" s="201"/>
      <c r="E390" s="197"/>
    </row>
    <row r="391" ht="15.75" customHeight="1">
      <c r="C391" s="201"/>
      <c r="E391" s="197"/>
    </row>
    <row r="392" ht="15.75" customHeight="1">
      <c r="C392" s="201"/>
      <c r="E392" s="197"/>
    </row>
    <row r="393" ht="15.75" customHeight="1">
      <c r="C393" s="201"/>
      <c r="E393" s="197"/>
    </row>
    <row r="394" ht="15.75" customHeight="1">
      <c r="C394" s="201"/>
      <c r="E394" s="197"/>
    </row>
    <row r="395" ht="15.75" customHeight="1">
      <c r="C395" s="201"/>
      <c r="E395" s="197"/>
    </row>
    <row r="396" ht="15.75" customHeight="1">
      <c r="C396" s="201"/>
      <c r="E396" s="197"/>
    </row>
    <row r="397" ht="15.75" customHeight="1">
      <c r="C397" s="201"/>
      <c r="E397" s="197"/>
    </row>
    <row r="398" ht="15.75" customHeight="1">
      <c r="C398" s="201"/>
      <c r="E398" s="197"/>
    </row>
    <row r="399" ht="15.75" customHeight="1">
      <c r="C399" s="201"/>
      <c r="E399" s="197"/>
    </row>
    <row r="400" ht="15.75" customHeight="1">
      <c r="C400" s="201"/>
      <c r="E400" s="197"/>
    </row>
    <row r="401" ht="15.75" customHeight="1">
      <c r="C401" s="201"/>
      <c r="E401" s="197"/>
    </row>
    <row r="402" ht="15.75" customHeight="1">
      <c r="C402" s="201"/>
      <c r="E402" s="197"/>
    </row>
    <row r="403" ht="15.75" customHeight="1">
      <c r="C403" s="201"/>
      <c r="E403" s="197"/>
    </row>
    <row r="404" ht="15.75" customHeight="1">
      <c r="C404" s="201"/>
      <c r="E404" s="197"/>
    </row>
    <row r="405" ht="15.75" customHeight="1">
      <c r="C405" s="201"/>
      <c r="E405" s="197"/>
    </row>
    <row r="406" ht="15.75" customHeight="1">
      <c r="C406" s="201"/>
      <c r="E406" s="197"/>
    </row>
    <row r="407" ht="15.75" customHeight="1">
      <c r="C407" s="201"/>
      <c r="E407" s="197"/>
    </row>
    <row r="408" ht="15.75" customHeight="1">
      <c r="C408" s="201"/>
      <c r="E408" s="197"/>
    </row>
    <row r="409" ht="15.75" customHeight="1">
      <c r="C409" s="201"/>
      <c r="E409" s="197"/>
    </row>
    <row r="410" ht="15.75" customHeight="1">
      <c r="C410" s="201"/>
      <c r="E410" s="197"/>
    </row>
    <row r="411" ht="15.75" customHeight="1">
      <c r="C411" s="201"/>
      <c r="E411" s="197"/>
    </row>
    <row r="412" ht="15.75" customHeight="1">
      <c r="C412" s="201"/>
      <c r="E412" s="197"/>
    </row>
    <row r="413" ht="15.75" customHeight="1">
      <c r="C413" s="201"/>
      <c r="E413" s="197"/>
    </row>
    <row r="414" ht="15.75" customHeight="1">
      <c r="C414" s="201"/>
      <c r="E414" s="197"/>
    </row>
    <row r="415" ht="15.75" customHeight="1">
      <c r="C415" s="201"/>
      <c r="E415" s="197"/>
    </row>
    <row r="416" ht="15.75" customHeight="1">
      <c r="C416" s="201"/>
      <c r="E416" s="197"/>
    </row>
    <row r="417" ht="15.75" customHeight="1">
      <c r="C417" s="201"/>
      <c r="E417" s="197"/>
    </row>
    <row r="418" ht="15.75" customHeight="1">
      <c r="C418" s="201"/>
      <c r="E418" s="197"/>
    </row>
    <row r="419" ht="15.75" customHeight="1">
      <c r="C419" s="201"/>
      <c r="E419" s="197"/>
    </row>
    <row r="420" ht="15.75" customHeight="1">
      <c r="C420" s="201"/>
      <c r="E420" s="197"/>
    </row>
    <row r="421" ht="15.75" customHeight="1">
      <c r="C421" s="201"/>
      <c r="E421" s="197"/>
    </row>
    <row r="422" ht="15.75" customHeight="1">
      <c r="C422" s="201"/>
      <c r="E422" s="197"/>
    </row>
    <row r="423" ht="15.75" customHeight="1">
      <c r="C423" s="201"/>
      <c r="E423" s="197"/>
    </row>
    <row r="424" ht="15.75" customHeight="1">
      <c r="C424" s="201"/>
      <c r="E424" s="197"/>
    </row>
    <row r="425" ht="15.75" customHeight="1">
      <c r="C425" s="201"/>
      <c r="E425" s="197"/>
    </row>
    <row r="426" ht="15.75" customHeight="1">
      <c r="C426" s="201"/>
      <c r="E426" s="197"/>
    </row>
    <row r="427" ht="15.75" customHeight="1">
      <c r="C427" s="201"/>
      <c r="E427" s="197"/>
    </row>
    <row r="428" ht="15.75" customHeight="1">
      <c r="C428" s="201"/>
      <c r="E428" s="197"/>
    </row>
    <row r="429" ht="15.75" customHeight="1">
      <c r="C429" s="201"/>
      <c r="E429" s="197"/>
    </row>
    <row r="430" ht="15.75" customHeight="1">
      <c r="C430" s="201"/>
      <c r="E430" s="197"/>
    </row>
    <row r="431" ht="15.75" customHeight="1">
      <c r="C431" s="201"/>
      <c r="E431" s="197"/>
    </row>
    <row r="432" ht="15.75" customHeight="1">
      <c r="C432" s="201"/>
      <c r="E432" s="197"/>
    </row>
    <row r="433" ht="15.75" customHeight="1">
      <c r="C433" s="201"/>
      <c r="E433" s="197"/>
    </row>
    <row r="434" ht="15.75" customHeight="1">
      <c r="C434" s="201"/>
      <c r="E434" s="197"/>
    </row>
    <row r="435" ht="15.75" customHeight="1">
      <c r="C435" s="201"/>
      <c r="E435" s="197"/>
    </row>
    <row r="436" ht="15.75" customHeight="1">
      <c r="C436" s="201"/>
      <c r="E436" s="197"/>
    </row>
    <row r="437" ht="15.75" customHeight="1">
      <c r="C437" s="201"/>
      <c r="E437" s="197"/>
    </row>
    <row r="438" ht="15.75" customHeight="1">
      <c r="C438" s="201"/>
      <c r="E438" s="197"/>
    </row>
    <row r="439" ht="15.75" customHeight="1">
      <c r="C439" s="201"/>
      <c r="E439" s="197"/>
    </row>
    <row r="440" ht="15.75" customHeight="1">
      <c r="C440" s="201"/>
      <c r="E440" s="197"/>
    </row>
    <row r="441" ht="15.75" customHeight="1">
      <c r="C441" s="201"/>
      <c r="E441" s="197"/>
    </row>
    <row r="442" ht="15.75" customHeight="1">
      <c r="C442" s="201"/>
      <c r="E442" s="197"/>
    </row>
    <row r="443" ht="15.75" customHeight="1">
      <c r="C443" s="201"/>
      <c r="E443" s="197"/>
    </row>
    <row r="444" ht="15.75" customHeight="1">
      <c r="C444" s="201"/>
      <c r="E444" s="197"/>
    </row>
    <row r="445" ht="15.75" customHeight="1">
      <c r="C445" s="201"/>
      <c r="E445" s="197"/>
    </row>
    <row r="446" ht="15.75" customHeight="1">
      <c r="C446" s="201"/>
      <c r="E446" s="197"/>
    </row>
    <row r="447" ht="15.75" customHeight="1">
      <c r="C447" s="201"/>
      <c r="E447" s="197"/>
    </row>
    <row r="448" ht="15.75" customHeight="1">
      <c r="C448" s="201"/>
      <c r="E448" s="197"/>
    </row>
    <row r="449" ht="15.75" customHeight="1">
      <c r="C449" s="201"/>
      <c r="E449" s="197"/>
    </row>
    <row r="450" ht="15.75" customHeight="1">
      <c r="C450" s="201"/>
      <c r="E450" s="197"/>
    </row>
    <row r="451" ht="15.75" customHeight="1">
      <c r="C451" s="201"/>
      <c r="E451" s="197"/>
    </row>
    <row r="452" ht="15.75" customHeight="1">
      <c r="C452" s="201"/>
      <c r="E452" s="197"/>
    </row>
    <row r="453" ht="15.75" customHeight="1">
      <c r="C453" s="201"/>
      <c r="E453" s="197"/>
    </row>
    <row r="454" ht="15.75" customHeight="1">
      <c r="C454" s="201"/>
      <c r="E454" s="197"/>
    </row>
    <row r="455" ht="15.75" customHeight="1">
      <c r="C455" s="201"/>
      <c r="E455" s="197"/>
    </row>
    <row r="456" ht="15.75" customHeight="1">
      <c r="C456" s="201"/>
      <c r="E456" s="197"/>
    </row>
    <row r="457" ht="15.75" customHeight="1">
      <c r="C457" s="201"/>
      <c r="E457" s="197"/>
    </row>
    <row r="458" ht="15.75" customHeight="1">
      <c r="C458" s="201"/>
      <c r="E458" s="197"/>
    </row>
    <row r="459" ht="15.75" customHeight="1">
      <c r="C459" s="201"/>
      <c r="E459" s="197"/>
    </row>
    <row r="460" ht="15.75" customHeight="1">
      <c r="C460" s="201"/>
      <c r="E460" s="197"/>
    </row>
    <row r="461" ht="15.75" customHeight="1">
      <c r="C461" s="201"/>
      <c r="E461" s="197"/>
    </row>
    <row r="462" ht="15.75" customHeight="1">
      <c r="C462" s="201"/>
      <c r="E462" s="197"/>
    </row>
    <row r="463" ht="15.75" customHeight="1">
      <c r="C463" s="201"/>
      <c r="E463" s="197"/>
    </row>
    <row r="464" ht="15.75" customHeight="1">
      <c r="C464" s="201"/>
      <c r="E464" s="197"/>
    </row>
    <row r="465" ht="15.75" customHeight="1">
      <c r="C465" s="201"/>
      <c r="E465" s="197"/>
    </row>
    <row r="466" ht="15.75" customHeight="1">
      <c r="C466" s="201"/>
      <c r="E466" s="197"/>
    </row>
    <row r="467" ht="15.75" customHeight="1">
      <c r="C467" s="201"/>
      <c r="E467" s="197"/>
    </row>
    <row r="468" ht="15.75" customHeight="1">
      <c r="C468" s="201"/>
      <c r="E468" s="197"/>
    </row>
    <row r="469" ht="15.75" customHeight="1">
      <c r="C469" s="201"/>
      <c r="E469" s="197"/>
    </row>
    <row r="470" ht="15.75" customHeight="1">
      <c r="C470" s="201"/>
      <c r="E470" s="197"/>
    </row>
    <row r="471" ht="15.75" customHeight="1">
      <c r="C471" s="201"/>
      <c r="E471" s="197"/>
    </row>
    <row r="472" ht="15.75" customHeight="1">
      <c r="C472" s="201"/>
      <c r="E472" s="197"/>
    </row>
    <row r="473" ht="15.75" customHeight="1">
      <c r="C473" s="201"/>
      <c r="E473" s="197"/>
    </row>
    <row r="474" ht="15.75" customHeight="1">
      <c r="C474" s="201"/>
      <c r="E474" s="197"/>
    </row>
    <row r="475" ht="15.75" customHeight="1">
      <c r="C475" s="201"/>
      <c r="E475" s="197"/>
    </row>
    <row r="476" ht="15.75" customHeight="1">
      <c r="C476" s="201"/>
      <c r="E476" s="197"/>
    </row>
    <row r="477" ht="15.75" customHeight="1">
      <c r="C477" s="201"/>
      <c r="E477" s="197"/>
    </row>
    <row r="478" ht="15.75" customHeight="1">
      <c r="C478" s="201"/>
      <c r="E478" s="197"/>
    </row>
    <row r="479" ht="15.75" customHeight="1">
      <c r="C479" s="201"/>
      <c r="E479" s="197"/>
    </row>
    <row r="480" ht="15.75" customHeight="1">
      <c r="C480" s="201"/>
      <c r="E480" s="197"/>
    </row>
    <row r="481" ht="15.75" customHeight="1">
      <c r="C481" s="201"/>
      <c r="E481" s="197"/>
    </row>
    <row r="482" ht="15.75" customHeight="1">
      <c r="C482" s="201"/>
      <c r="E482" s="197"/>
    </row>
    <row r="483" ht="15.75" customHeight="1">
      <c r="C483" s="201"/>
      <c r="E483" s="197"/>
    </row>
    <row r="484" ht="15.75" customHeight="1">
      <c r="C484" s="201"/>
      <c r="E484" s="197"/>
    </row>
    <row r="485" ht="15.75" customHeight="1">
      <c r="C485" s="201"/>
      <c r="E485" s="197"/>
    </row>
    <row r="486" ht="15.75" customHeight="1">
      <c r="C486" s="201"/>
      <c r="E486" s="197"/>
    </row>
    <row r="487" ht="15.75" customHeight="1">
      <c r="C487" s="201"/>
      <c r="E487" s="197"/>
    </row>
    <row r="488" ht="15.75" customHeight="1">
      <c r="C488" s="201"/>
      <c r="E488" s="197"/>
    </row>
    <row r="489" ht="15.75" customHeight="1">
      <c r="C489" s="201"/>
      <c r="E489" s="197"/>
    </row>
    <row r="490" ht="15.75" customHeight="1">
      <c r="C490" s="201"/>
      <c r="E490" s="197"/>
    </row>
    <row r="491" ht="15.75" customHeight="1">
      <c r="C491" s="201"/>
      <c r="E491" s="197"/>
    </row>
    <row r="492" ht="15.75" customHeight="1">
      <c r="C492" s="201"/>
      <c r="E492" s="197"/>
    </row>
    <row r="493" ht="15.75" customHeight="1">
      <c r="C493" s="201"/>
      <c r="E493" s="197"/>
    </row>
    <row r="494" ht="15.75" customHeight="1">
      <c r="C494" s="201"/>
      <c r="E494" s="197"/>
    </row>
    <row r="495" ht="15.75" customHeight="1">
      <c r="C495" s="201"/>
      <c r="E495" s="197"/>
    </row>
    <row r="496" ht="15.75" customHeight="1">
      <c r="C496" s="201"/>
      <c r="E496" s="197"/>
    </row>
    <row r="497" ht="15.75" customHeight="1">
      <c r="C497" s="201"/>
      <c r="E497" s="197"/>
    </row>
    <row r="498" ht="15.75" customHeight="1">
      <c r="C498" s="201"/>
      <c r="E498" s="197"/>
    </row>
    <row r="499" ht="15.75" customHeight="1">
      <c r="C499" s="201"/>
      <c r="E499" s="197"/>
    </row>
    <row r="500" ht="15.75" customHeight="1">
      <c r="C500" s="201"/>
      <c r="E500" s="197"/>
    </row>
    <row r="501" ht="15.75" customHeight="1">
      <c r="C501" s="201"/>
      <c r="E501" s="197"/>
    </row>
    <row r="502" ht="15.75" customHeight="1">
      <c r="C502" s="201"/>
      <c r="E502" s="197"/>
    </row>
    <row r="503" ht="15.75" customHeight="1">
      <c r="C503" s="201"/>
      <c r="E503" s="197"/>
    </row>
    <row r="504" ht="15.75" customHeight="1">
      <c r="C504" s="201"/>
      <c r="E504" s="197"/>
    </row>
    <row r="505" ht="15.75" customHeight="1">
      <c r="C505" s="201"/>
      <c r="E505" s="197"/>
    </row>
    <row r="506" ht="15.75" customHeight="1">
      <c r="C506" s="201"/>
      <c r="E506" s="197"/>
    </row>
    <row r="507" ht="15.75" customHeight="1">
      <c r="C507" s="201"/>
      <c r="E507" s="197"/>
    </row>
    <row r="508" ht="15.75" customHeight="1">
      <c r="C508" s="201"/>
      <c r="E508" s="197"/>
    </row>
    <row r="509" ht="15.75" customHeight="1">
      <c r="C509" s="201"/>
      <c r="E509" s="197"/>
    </row>
    <row r="510" ht="15.75" customHeight="1">
      <c r="C510" s="201"/>
      <c r="E510" s="197"/>
    </row>
    <row r="511" ht="15.75" customHeight="1">
      <c r="C511" s="201"/>
      <c r="E511" s="197"/>
    </row>
    <row r="512" ht="15.75" customHeight="1">
      <c r="C512" s="201"/>
      <c r="E512" s="197"/>
    </row>
    <row r="513" ht="15.75" customHeight="1">
      <c r="C513" s="201"/>
      <c r="E513" s="197"/>
    </row>
    <row r="514" ht="15.75" customHeight="1">
      <c r="C514" s="201"/>
      <c r="E514" s="197"/>
    </row>
    <row r="515" ht="15.75" customHeight="1">
      <c r="C515" s="201"/>
      <c r="E515" s="197"/>
    </row>
    <row r="516" ht="15.75" customHeight="1">
      <c r="C516" s="201"/>
      <c r="E516" s="197"/>
    </row>
    <row r="517" ht="15.75" customHeight="1">
      <c r="C517" s="201"/>
      <c r="E517" s="197"/>
    </row>
    <row r="518" ht="15.75" customHeight="1">
      <c r="C518" s="201"/>
      <c r="E518" s="197"/>
    </row>
    <row r="519" ht="15.75" customHeight="1">
      <c r="C519" s="201"/>
      <c r="E519" s="197"/>
    </row>
    <row r="520" ht="15.75" customHeight="1">
      <c r="C520" s="201"/>
      <c r="E520" s="197"/>
    </row>
    <row r="521" ht="15.75" customHeight="1">
      <c r="C521" s="201"/>
      <c r="E521" s="197"/>
    </row>
    <row r="522" ht="15.75" customHeight="1">
      <c r="C522" s="201"/>
      <c r="E522" s="197"/>
    </row>
    <row r="523" ht="15.75" customHeight="1">
      <c r="C523" s="201"/>
      <c r="E523" s="197"/>
    </row>
    <row r="524" ht="15.75" customHeight="1">
      <c r="C524" s="201"/>
      <c r="E524" s="197"/>
    </row>
    <row r="525" ht="15.75" customHeight="1">
      <c r="C525" s="201"/>
      <c r="E525" s="197"/>
    </row>
    <row r="526" ht="15.75" customHeight="1">
      <c r="C526" s="201"/>
      <c r="E526" s="197"/>
    </row>
    <row r="527" ht="15.75" customHeight="1">
      <c r="C527" s="201"/>
      <c r="E527" s="197"/>
    </row>
    <row r="528" ht="15.75" customHeight="1">
      <c r="C528" s="201"/>
      <c r="E528" s="197"/>
    </row>
    <row r="529" ht="15.75" customHeight="1">
      <c r="C529" s="201"/>
      <c r="E529" s="197"/>
    </row>
    <row r="530" ht="15.75" customHeight="1">
      <c r="C530" s="201"/>
      <c r="E530" s="197"/>
    </row>
    <row r="531" ht="15.75" customHeight="1">
      <c r="C531" s="201"/>
      <c r="E531" s="197"/>
    </row>
    <row r="532" ht="15.75" customHeight="1">
      <c r="C532" s="201"/>
      <c r="E532" s="197"/>
    </row>
    <row r="533" ht="15.75" customHeight="1">
      <c r="C533" s="201"/>
      <c r="E533" s="197"/>
    </row>
    <row r="534" ht="15.75" customHeight="1">
      <c r="C534" s="201"/>
      <c r="E534" s="197"/>
    </row>
    <row r="535" ht="15.75" customHeight="1">
      <c r="C535" s="201"/>
      <c r="E535" s="197"/>
    </row>
    <row r="536" ht="15.75" customHeight="1">
      <c r="C536" s="201"/>
      <c r="E536" s="197"/>
    </row>
    <row r="537" ht="15.75" customHeight="1">
      <c r="C537" s="201"/>
      <c r="E537" s="197"/>
    </row>
    <row r="538" ht="15.75" customHeight="1">
      <c r="C538" s="201"/>
      <c r="E538" s="197"/>
    </row>
    <row r="539" ht="15.75" customHeight="1">
      <c r="C539" s="201"/>
      <c r="E539" s="197"/>
    </row>
    <row r="540" ht="15.75" customHeight="1">
      <c r="C540" s="201"/>
      <c r="E540" s="197"/>
    </row>
    <row r="541" ht="15.75" customHeight="1">
      <c r="C541" s="201"/>
      <c r="E541" s="197"/>
    </row>
    <row r="542" ht="15.75" customHeight="1">
      <c r="C542" s="201"/>
      <c r="E542" s="197"/>
    </row>
    <row r="543" ht="15.75" customHeight="1">
      <c r="C543" s="201"/>
      <c r="E543" s="197"/>
    </row>
    <row r="544" ht="15.75" customHeight="1">
      <c r="C544" s="201"/>
      <c r="E544" s="197"/>
    </row>
    <row r="545" ht="15.75" customHeight="1">
      <c r="C545" s="201"/>
      <c r="E545" s="197"/>
    </row>
    <row r="546" ht="15.75" customHeight="1">
      <c r="C546" s="201"/>
      <c r="E546" s="197"/>
    </row>
    <row r="547" ht="15.75" customHeight="1">
      <c r="C547" s="201"/>
      <c r="E547" s="197"/>
    </row>
    <row r="548" ht="15.75" customHeight="1">
      <c r="C548" s="201"/>
      <c r="E548" s="197"/>
    </row>
    <row r="549" ht="15.75" customHeight="1">
      <c r="C549" s="201"/>
      <c r="E549" s="197"/>
    </row>
    <row r="550" ht="15.75" customHeight="1">
      <c r="C550" s="201"/>
      <c r="E550" s="197"/>
    </row>
    <row r="551" ht="15.75" customHeight="1">
      <c r="C551" s="201"/>
      <c r="E551" s="197"/>
    </row>
    <row r="552" ht="15.75" customHeight="1">
      <c r="C552" s="201"/>
      <c r="E552" s="197"/>
    </row>
    <row r="553" ht="15.75" customHeight="1">
      <c r="C553" s="201"/>
      <c r="E553" s="197"/>
    </row>
    <row r="554" ht="15.75" customHeight="1">
      <c r="C554" s="201"/>
      <c r="E554" s="197"/>
    </row>
    <row r="555" ht="15.75" customHeight="1">
      <c r="C555" s="201"/>
      <c r="E555" s="197"/>
    </row>
    <row r="556" ht="15.75" customHeight="1">
      <c r="C556" s="201"/>
      <c r="E556" s="197"/>
    </row>
    <row r="557" ht="15.75" customHeight="1">
      <c r="C557" s="201"/>
      <c r="E557" s="197"/>
    </row>
    <row r="558" ht="15.75" customHeight="1">
      <c r="C558" s="201"/>
      <c r="E558" s="197"/>
    </row>
    <row r="559" ht="15.75" customHeight="1">
      <c r="C559" s="201"/>
      <c r="E559" s="197"/>
    </row>
    <row r="560" ht="15.75" customHeight="1">
      <c r="C560" s="201"/>
      <c r="E560" s="197"/>
    </row>
    <row r="561" ht="15.75" customHeight="1">
      <c r="C561" s="201"/>
      <c r="E561" s="197"/>
    </row>
    <row r="562" ht="15.75" customHeight="1">
      <c r="C562" s="201"/>
      <c r="E562" s="197"/>
    </row>
    <row r="563" ht="15.75" customHeight="1">
      <c r="C563" s="201"/>
      <c r="E563" s="197"/>
    </row>
    <row r="564" ht="15.75" customHeight="1">
      <c r="C564" s="201"/>
      <c r="E564" s="197"/>
    </row>
    <row r="565" ht="15.75" customHeight="1">
      <c r="C565" s="201"/>
      <c r="E565" s="197"/>
    </row>
    <row r="566" ht="15.75" customHeight="1">
      <c r="C566" s="201"/>
      <c r="E566" s="197"/>
    </row>
    <row r="567" ht="15.75" customHeight="1">
      <c r="C567" s="201"/>
      <c r="E567" s="197"/>
    </row>
    <row r="568" ht="15.75" customHeight="1">
      <c r="C568" s="201"/>
      <c r="E568" s="197"/>
    </row>
    <row r="569" ht="15.75" customHeight="1">
      <c r="C569" s="201"/>
      <c r="E569" s="197"/>
    </row>
    <row r="570" ht="15.75" customHeight="1">
      <c r="C570" s="201"/>
      <c r="E570" s="197"/>
    </row>
    <row r="571" ht="15.75" customHeight="1">
      <c r="C571" s="201"/>
      <c r="E571" s="197"/>
    </row>
    <row r="572" ht="15.75" customHeight="1">
      <c r="C572" s="201"/>
      <c r="E572" s="197"/>
    </row>
    <row r="573" ht="15.75" customHeight="1">
      <c r="C573" s="201"/>
      <c r="E573" s="197"/>
    </row>
    <row r="574" ht="15.75" customHeight="1">
      <c r="C574" s="201"/>
      <c r="E574" s="197"/>
    </row>
    <row r="575" ht="15.75" customHeight="1">
      <c r="C575" s="201"/>
      <c r="E575" s="197"/>
    </row>
    <row r="576" ht="15.75" customHeight="1">
      <c r="C576" s="201"/>
      <c r="E576" s="197"/>
    </row>
    <row r="577" ht="15.75" customHeight="1">
      <c r="C577" s="201"/>
      <c r="E577" s="197"/>
    </row>
    <row r="578" ht="15.75" customHeight="1">
      <c r="C578" s="201"/>
      <c r="E578" s="197"/>
    </row>
    <row r="579" ht="15.75" customHeight="1">
      <c r="C579" s="201"/>
      <c r="E579" s="197"/>
    </row>
    <row r="580" ht="15.75" customHeight="1">
      <c r="C580" s="201"/>
      <c r="E580" s="197"/>
    </row>
    <row r="581" ht="15.75" customHeight="1">
      <c r="C581" s="201"/>
      <c r="E581" s="197"/>
    </row>
    <row r="582" ht="15.75" customHeight="1">
      <c r="C582" s="201"/>
      <c r="E582" s="197"/>
    </row>
    <row r="583" ht="15.75" customHeight="1">
      <c r="C583" s="201"/>
      <c r="E583" s="197"/>
    </row>
    <row r="584" ht="15.75" customHeight="1">
      <c r="C584" s="201"/>
      <c r="E584" s="197"/>
    </row>
    <row r="585" ht="15.75" customHeight="1">
      <c r="C585" s="201"/>
      <c r="E585" s="197"/>
    </row>
    <row r="586" ht="15.75" customHeight="1">
      <c r="C586" s="201"/>
      <c r="E586" s="197"/>
    </row>
    <row r="587" ht="15.75" customHeight="1">
      <c r="C587" s="201"/>
      <c r="E587" s="197"/>
    </row>
    <row r="588" ht="15.75" customHeight="1">
      <c r="C588" s="201"/>
      <c r="E588" s="197"/>
    </row>
    <row r="589" ht="15.75" customHeight="1">
      <c r="C589" s="201"/>
      <c r="E589" s="197"/>
    </row>
    <row r="590" ht="15.75" customHeight="1">
      <c r="C590" s="201"/>
      <c r="E590" s="197"/>
    </row>
    <row r="591" ht="15.75" customHeight="1">
      <c r="C591" s="201"/>
      <c r="E591" s="197"/>
    </row>
    <row r="592" ht="15.75" customHeight="1">
      <c r="C592" s="201"/>
      <c r="E592" s="197"/>
    </row>
    <row r="593" ht="15.75" customHeight="1">
      <c r="C593" s="201"/>
      <c r="E593" s="197"/>
    </row>
    <row r="594" ht="15.75" customHeight="1">
      <c r="C594" s="201"/>
      <c r="E594" s="197"/>
    </row>
    <row r="595" ht="15.75" customHeight="1">
      <c r="C595" s="201"/>
      <c r="E595" s="197"/>
    </row>
    <row r="596" ht="15.75" customHeight="1">
      <c r="C596" s="201"/>
      <c r="E596" s="197"/>
    </row>
    <row r="597" ht="15.75" customHeight="1">
      <c r="C597" s="201"/>
      <c r="E597" s="197"/>
    </row>
    <row r="598" ht="15.75" customHeight="1">
      <c r="C598" s="201"/>
      <c r="E598" s="197"/>
    </row>
    <row r="599" ht="15.75" customHeight="1">
      <c r="C599" s="201"/>
      <c r="E599" s="197"/>
    </row>
    <row r="600" ht="15.75" customHeight="1">
      <c r="C600" s="201"/>
      <c r="E600" s="197"/>
    </row>
    <row r="601" ht="15.75" customHeight="1">
      <c r="C601" s="201"/>
      <c r="E601" s="197"/>
    </row>
    <row r="602" ht="15.75" customHeight="1">
      <c r="C602" s="201"/>
      <c r="E602" s="197"/>
    </row>
    <row r="603" ht="15.75" customHeight="1">
      <c r="C603" s="201"/>
      <c r="E603" s="197"/>
    </row>
    <row r="604" ht="15.75" customHeight="1">
      <c r="C604" s="201"/>
      <c r="E604" s="197"/>
    </row>
    <row r="605" ht="15.75" customHeight="1">
      <c r="C605" s="201"/>
      <c r="E605" s="197"/>
    </row>
    <row r="606" ht="15.75" customHeight="1">
      <c r="C606" s="201"/>
      <c r="E606" s="197"/>
    </row>
    <row r="607" ht="15.75" customHeight="1">
      <c r="C607" s="201"/>
      <c r="E607" s="197"/>
    </row>
    <row r="608" ht="15.75" customHeight="1">
      <c r="C608" s="201"/>
      <c r="E608" s="197"/>
    </row>
    <row r="609" ht="15.75" customHeight="1">
      <c r="C609" s="201"/>
      <c r="E609" s="197"/>
    </row>
    <row r="610" ht="15.75" customHeight="1">
      <c r="C610" s="201"/>
      <c r="E610" s="197"/>
    </row>
    <row r="611" ht="15.75" customHeight="1">
      <c r="C611" s="201"/>
      <c r="E611" s="197"/>
    </row>
    <row r="612" ht="15.75" customHeight="1">
      <c r="C612" s="201"/>
      <c r="E612" s="197"/>
    </row>
    <row r="613" ht="15.75" customHeight="1">
      <c r="C613" s="201"/>
      <c r="E613" s="197"/>
    </row>
    <row r="614" ht="15.75" customHeight="1">
      <c r="C614" s="201"/>
      <c r="E614" s="197"/>
    </row>
    <row r="615" ht="15.75" customHeight="1">
      <c r="C615" s="201"/>
      <c r="E615" s="197"/>
    </row>
    <row r="616" ht="15.75" customHeight="1">
      <c r="C616" s="201"/>
      <c r="E616" s="197"/>
    </row>
    <row r="617" ht="15.75" customHeight="1">
      <c r="C617" s="201"/>
      <c r="E617" s="197"/>
    </row>
    <row r="618" ht="15.75" customHeight="1">
      <c r="C618" s="201"/>
      <c r="E618" s="197"/>
    </row>
    <row r="619" ht="15.75" customHeight="1">
      <c r="C619" s="201"/>
      <c r="E619" s="197"/>
    </row>
    <row r="620" ht="15.75" customHeight="1">
      <c r="C620" s="201"/>
      <c r="E620" s="197"/>
    </row>
    <row r="621" ht="15.75" customHeight="1">
      <c r="C621" s="201"/>
      <c r="E621" s="197"/>
    </row>
    <row r="622" ht="15.75" customHeight="1">
      <c r="C622" s="201"/>
      <c r="E622" s="197"/>
    </row>
    <row r="623" ht="15.75" customHeight="1">
      <c r="C623" s="201"/>
      <c r="E623" s="197"/>
    </row>
    <row r="624" ht="15.75" customHeight="1">
      <c r="C624" s="201"/>
      <c r="E624" s="197"/>
    </row>
    <row r="625" ht="15.75" customHeight="1">
      <c r="C625" s="201"/>
      <c r="E625" s="197"/>
    </row>
    <row r="626" ht="15.75" customHeight="1">
      <c r="C626" s="201"/>
      <c r="E626" s="197"/>
    </row>
    <row r="627" ht="15.75" customHeight="1">
      <c r="C627" s="201"/>
      <c r="E627" s="197"/>
    </row>
    <row r="628" ht="15.75" customHeight="1">
      <c r="C628" s="201"/>
      <c r="E628" s="197"/>
    </row>
    <row r="629" ht="15.75" customHeight="1">
      <c r="C629" s="201"/>
      <c r="E629" s="197"/>
    </row>
    <row r="630" ht="15.75" customHeight="1">
      <c r="C630" s="201"/>
      <c r="E630" s="197"/>
    </row>
    <row r="631" ht="15.75" customHeight="1">
      <c r="C631" s="201"/>
      <c r="E631" s="197"/>
    </row>
    <row r="632" ht="15.75" customHeight="1">
      <c r="C632" s="201"/>
      <c r="E632" s="197"/>
    </row>
    <row r="633" ht="15.75" customHeight="1">
      <c r="C633" s="201"/>
      <c r="E633" s="197"/>
    </row>
    <row r="634" ht="15.75" customHeight="1">
      <c r="C634" s="201"/>
      <c r="E634" s="197"/>
    </row>
    <row r="635" ht="15.75" customHeight="1">
      <c r="C635" s="201"/>
      <c r="E635" s="197"/>
    </row>
    <row r="636" ht="15.75" customHeight="1">
      <c r="C636" s="201"/>
      <c r="E636" s="197"/>
    </row>
    <row r="637" ht="15.75" customHeight="1">
      <c r="C637" s="201"/>
      <c r="E637" s="197"/>
    </row>
    <row r="638" ht="15.75" customHeight="1">
      <c r="C638" s="201"/>
      <c r="E638" s="197"/>
    </row>
    <row r="639" ht="15.75" customHeight="1">
      <c r="C639" s="201"/>
      <c r="E639" s="197"/>
    </row>
    <row r="640" ht="15.75" customHeight="1">
      <c r="C640" s="201"/>
      <c r="E640" s="197"/>
    </row>
    <row r="641" ht="15.75" customHeight="1">
      <c r="C641" s="201"/>
      <c r="E641" s="197"/>
    </row>
    <row r="642" ht="15.75" customHeight="1">
      <c r="C642" s="201"/>
      <c r="E642" s="197"/>
    </row>
    <row r="643" ht="15.75" customHeight="1">
      <c r="C643" s="201"/>
      <c r="E643" s="197"/>
    </row>
    <row r="644" ht="15.75" customHeight="1">
      <c r="C644" s="201"/>
      <c r="E644" s="197"/>
    </row>
    <row r="645" ht="15.75" customHeight="1">
      <c r="C645" s="201"/>
      <c r="E645" s="197"/>
    </row>
    <row r="646" ht="15.75" customHeight="1">
      <c r="C646" s="201"/>
      <c r="E646" s="197"/>
    </row>
    <row r="647" ht="15.75" customHeight="1">
      <c r="C647" s="201"/>
      <c r="E647" s="197"/>
    </row>
    <row r="648" ht="15.75" customHeight="1">
      <c r="C648" s="201"/>
      <c r="E648" s="197"/>
    </row>
    <row r="649" ht="15.75" customHeight="1">
      <c r="C649" s="201"/>
      <c r="E649" s="197"/>
    </row>
    <row r="650" ht="15.75" customHeight="1">
      <c r="C650" s="201"/>
      <c r="E650" s="197"/>
    </row>
    <row r="651" ht="15.75" customHeight="1">
      <c r="C651" s="201"/>
      <c r="E651" s="197"/>
    </row>
    <row r="652" ht="15.75" customHeight="1">
      <c r="C652" s="201"/>
      <c r="E652" s="197"/>
    </row>
    <row r="653" ht="15.75" customHeight="1">
      <c r="C653" s="201"/>
      <c r="E653" s="197"/>
    </row>
    <row r="654" ht="15.75" customHeight="1">
      <c r="C654" s="201"/>
      <c r="E654" s="197"/>
    </row>
    <row r="655" ht="15.75" customHeight="1">
      <c r="C655" s="201"/>
      <c r="E655" s="197"/>
    </row>
    <row r="656" ht="15.75" customHeight="1">
      <c r="C656" s="201"/>
      <c r="E656" s="197"/>
    </row>
    <row r="657" ht="15.75" customHeight="1">
      <c r="C657" s="201"/>
      <c r="E657" s="197"/>
    </row>
    <row r="658" ht="15.75" customHeight="1">
      <c r="C658" s="201"/>
      <c r="E658" s="197"/>
    </row>
    <row r="659" ht="15.75" customHeight="1">
      <c r="C659" s="201"/>
      <c r="E659" s="197"/>
    </row>
    <row r="660" ht="15.75" customHeight="1">
      <c r="C660" s="201"/>
      <c r="E660" s="197"/>
    </row>
    <row r="661" ht="15.75" customHeight="1">
      <c r="C661" s="201"/>
      <c r="E661" s="197"/>
    </row>
    <row r="662" ht="15.75" customHeight="1">
      <c r="C662" s="201"/>
      <c r="E662" s="197"/>
    </row>
    <row r="663" ht="15.75" customHeight="1">
      <c r="C663" s="201"/>
      <c r="E663" s="197"/>
    </row>
    <row r="664" ht="15.75" customHeight="1">
      <c r="C664" s="201"/>
      <c r="E664" s="197"/>
    </row>
    <row r="665" ht="15.75" customHeight="1">
      <c r="C665" s="201"/>
      <c r="E665" s="197"/>
    </row>
    <row r="666" ht="15.75" customHeight="1">
      <c r="C666" s="201"/>
      <c r="E666" s="197"/>
    </row>
    <row r="667" ht="15.75" customHeight="1">
      <c r="C667" s="201"/>
      <c r="E667" s="197"/>
    </row>
    <row r="668" ht="15.75" customHeight="1">
      <c r="C668" s="201"/>
      <c r="E668" s="197"/>
    </row>
    <row r="669" ht="15.75" customHeight="1">
      <c r="C669" s="201"/>
      <c r="E669" s="197"/>
    </row>
    <row r="670" ht="15.75" customHeight="1">
      <c r="C670" s="201"/>
      <c r="E670" s="197"/>
    </row>
    <row r="671" ht="15.75" customHeight="1">
      <c r="C671" s="201"/>
      <c r="E671" s="197"/>
    </row>
    <row r="672" ht="15.75" customHeight="1">
      <c r="C672" s="201"/>
      <c r="E672" s="197"/>
    </row>
    <row r="673" ht="15.75" customHeight="1">
      <c r="C673" s="201"/>
      <c r="E673" s="197"/>
    </row>
    <row r="674" ht="15.75" customHeight="1">
      <c r="C674" s="201"/>
      <c r="E674" s="197"/>
    </row>
    <row r="675" ht="15.75" customHeight="1">
      <c r="C675" s="201"/>
      <c r="E675" s="197"/>
    </row>
    <row r="676" ht="15.75" customHeight="1">
      <c r="C676" s="201"/>
      <c r="E676" s="197"/>
    </row>
    <row r="677" ht="15.75" customHeight="1">
      <c r="C677" s="201"/>
      <c r="E677" s="197"/>
    </row>
    <row r="678" ht="15.75" customHeight="1">
      <c r="C678" s="201"/>
      <c r="E678" s="197"/>
    </row>
    <row r="679" ht="15.75" customHeight="1">
      <c r="C679" s="201"/>
      <c r="E679" s="197"/>
    </row>
    <row r="680" ht="15.75" customHeight="1">
      <c r="C680" s="201"/>
      <c r="E680" s="197"/>
    </row>
    <row r="681" ht="15.75" customHeight="1">
      <c r="C681" s="201"/>
      <c r="E681" s="197"/>
    </row>
    <row r="682" ht="15.75" customHeight="1">
      <c r="C682" s="201"/>
      <c r="E682" s="197"/>
    </row>
    <row r="683" ht="15.75" customHeight="1">
      <c r="C683" s="201"/>
      <c r="E683" s="197"/>
    </row>
    <row r="684" ht="15.75" customHeight="1">
      <c r="C684" s="201"/>
      <c r="E684" s="197"/>
    </row>
    <row r="685" ht="15.75" customHeight="1">
      <c r="C685" s="201"/>
      <c r="E685" s="197"/>
    </row>
    <row r="686" ht="15.75" customHeight="1">
      <c r="C686" s="201"/>
      <c r="E686" s="197"/>
    </row>
    <row r="687" ht="15.75" customHeight="1">
      <c r="C687" s="201"/>
      <c r="E687" s="197"/>
    </row>
    <row r="688" ht="15.75" customHeight="1">
      <c r="C688" s="201"/>
      <c r="E688" s="197"/>
    </row>
    <row r="689" ht="15.75" customHeight="1">
      <c r="C689" s="201"/>
      <c r="E689" s="197"/>
    </row>
    <row r="690" ht="15.75" customHeight="1">
      <c r="C690" s="201"/>
      <c r="E690" s="197"/>
    </row>
    <row r="691" ht="15.75" customHeight="1">
      <c r="C691" s="201"/>
      <c r="E691" s="197"/>
    </row>
    <row r="692" ht="15.75" customHeight="1">
      <c r="C692" s="201"/>
      <c r="E692" s="197"/>
    </row>
    <row r="693" ht="15.75" customHeight="1">
      <c r="C693" s="201"/>
      <c r="E693" s="197"/>
    </row>
    <row r="694" ht="15.75" customHeight="1">
      <c r="C694" s="201"/>
      <c r="E694" s="197"/>
    </row>
    <row r="695" ht="15.75" customHeight="1">
      <c r="C695" s="201"/>
      <c r="E695" s="197"/>
    </row>
    <row r="696" ht="15.75" customHeight="1">
      <c r="C696" s="201"/>
      <c r="E696" s="197"/>
    </row>
    <row r="697" ht="15.75" customHeight="1">
      <c r="C697" s="201"/>
      <c r="E697" s="197"/>
    </row>
    <row r="698" ht="15.75" customHeight="1">
      <c r="C698" s="201"/>
      <c r="E698" s="197"/>
    </row>
    <row r="699" ht="15.75" customHeight="1">
      <c r="C699" s="201"/>
      <c r="E699" s="197"/>
    </row>
    <row r="700" ht="15.75" customHeight="1">
      <c r="C700" s="201"/>
      <c r="E700" s="197"/>
    </row>
    <row r="701" ht="15.75" customHeight="1">
      <c r="C701" s="201"/>
      <c r="E701" s="197"/>
    </row>
    <row r="702" ht="15.75" customHeight="1">
      <c r="C702" s="201"/>
      <c r="E702" s="197"/>
    </row>
    <row r="703" ht="15.75" customHeight="1">
      <c r="C703" s="201"/>
      <c r="E703" s="197"/>
    </row>
    <row r="704" ht="15.75" customHeight="1">
      <c r="C704" s="201"/>
      <c r="E704" s="197"/>
    </row>
    <row r="705" ht="15.75" customHeight="1">
      <c r="C705" s="201"/>
      <c r="E705" s="197"/>
    </row>
    <row r="706" ht="15.75" customHeight="1">
      <c r="C706" s="201"/>
      <c r="E706" s="197"/>
    </row>
    <row r="707" ht="15.75" customHeight="1">
      <c r="C707" s="201"/>
      <c r="E707" s="197"/>
    </row>
    <row r="708" ht="15.75" customHeight="1">
      <c r="C708" s="201"/>
      <c r="E708" s="197"/>
    </row>
    <row r="709" ht="15.75" customHeight="1">
      <c r="C709" s="201"/>
      <c r="E709" s="197"/>
    </row>
    <row r="710" ht="15.75" customHeight="1">
      <c r="C710" s="201"/>
      <c r="E710" s="197"/>
    </row>
    <row r="711" ht="15.75" customHeight="1">
      <c r="C711" s="201"/>
      <c r="E711" s="197"/>
    </row>
    <row r="712" ht="15.75" customHeight="1">
      <c r="C712" s="201"/>
      <c r="E712" s="197"/>
    </row>
    <row r="713" ht="15.75" customHeight="1">
      <c r="C713" s="201"/>
      <c r="E713" s="197"/>
    </row>
    <row r="714" ht="15.75" customHeight="1">
      <c r="C714" s="201"/>
      <c r="E714" s="197"/>
    </row>
    <row r="715" ht="15.75" customHeight="1">
      <c r="C715" s="201"/>
      <c r="E715" s="197"/>
    </row>
    <row r="716" ht="15.75" customHeight="1">
      <c r="C716" s="201"/>
      <c r="E716" s="197"/>
    </row>
    <row r="717" ht="15.75" customHeight="1">
      <c r="C717" s="201"/>
      <c r="E717" s="197"/>
    </row>
    <row r="718" ht="15.75" customHeight="1">
      <c r="C718" s="201"/>
      <c r="E718" s="197"/>
    </row>
    <row r="719" ht="15.75" customHeight="1">
      <c r="C719" s="201"/>
      <c r="E719" s="197"/>
    </row>
    <row r="720" ht="15.75" customHeight="1">
      <c r="C720" s="201"/>
      <c r="E720" s="197"/>
    </row>
    <row r="721" ht="15.75" customHeight="1">
      <c r="C721" s="201"/>
      <c r="E721" s="197"/>
    </row>
    <row r="722" ht="15.75" customHeight="1">
      <c r="C722" s="201"/>
      <c r="E722" s="197"/>
    </row>
    <row r="723" ht="15.75" customHeight="1">
      <c r="C723" s="201"/>
      <c r="E723" s="197"/>
    </row>
    <row r="724" ht="15.75" customHeight="1">
      <c r="C724" s="201"/>
      <c r="E724" s="197"/>
    </row>
    <row r="725" ht="15.75" customHeight="1">
      <c r="C725" s="201"/>
      <c r="E725" s="197"/>
    </row>
    <row r="726" ht="15.75" customHeight="1">
      <c r="C726" s="201"/>
      <c r="E726" s="197"/>
    </row>
    <row r="727" ht="15.75" customHeight="1">
      <c r="C727" s="201"/>
      <c r="E727" s="197"/>
    </row>
    <row r="728" ht="15.75" customHeight="1">
      <c r="C728" s="201"/>
      <c r="E728" s="197"/>
    </row>
    <row r="729" ht="15.75" customHeight="1">
      <c r="C729" s="201"/>
      <c r="E729" s="197"/>
    </row>
    <row r="730" ht="15.75" customHeight="1">
      <c r="C730" s="201"/>
      <c r="E730" s="197"/>
    </row>
    <row r="731" ht="15.75" customHeight="1">
      <c r="C731" s="201"/>
      <c r="E731" s="197"/>
    </row>
    <row r="732" ht="15.75" customHeight="1">
      <c r="C732" s="201"/>
      <c r="E732" s="197"/>
    </row>
    <row r="733" ht="15.75" customHeight="1">
      <c r="C733" s="201"/>
      <c r="E733" s="197"/>
    </row>
    <row r="734" ht="15.75" customHeight="1">
      <c r="C734" s="201"/>
      <c r="E734" s="197"/>
    </row>
    <row r="735" ht="15.75" customHeight="1">
      <c r="C735" s="201"/>
      <c r="E735" s="197"/>
    </row>
    <row r="736" ht="15.75" customHeight="1">
      <c r="C736" s="201"/>
      <c r="E736" s="197"/>
    </row>
    <row r="737" ht="15.75" customHeight="1">
      <c r="C737" s="201"/>
      <c r="E737" s="197"/>
    </row>
    <row r="738" ht="15.75" customHeight="1">
      <c r="C738" s="201"/>
      <c r="E738" s="197"/>
    </row>
    <row r="739" ht="15.75" customHeight="1">
      <c r="C739" s="201"/>
      <c r="E739" s="197"/>
    </row>
    <row r="740" ht="15.75" customHeight="1">
      <c r="C740" s="201"/>
      <c r="E740" s="197"/>
    </row>
    <row r="741" ht="15.75" customHeight="1">
      <c r="C741" s="201"/>
      <c r="E741" s="197"/>
    </row>
    <row r="742" ht="15.75" customHeight="1">
      <c r="C742" s="201"/>
      <c r="E742" s="197"/>
    </row>
    <row r="743" ht="15.75" customHeight="1">
      <c r="C743" s="201"/>
      <c r="E743" s="197"/>
    </row>
    <row r="744" ht="15.75" customHeight="1">
      <c r="C744" s="201"/>
      <c r="E744" s="197"/>
    </row>
    <row r="745" ht="15.75" customHeight="1">
      <c r="C745" s="201"/>
      <c r="E745" s="197"/>
    </row>
    <row r="746" ht="15.75" customHeight="1">
      <c r="C746" s="201"/>
      <c r="E746" s="197"/>
    </row>
    <row r="747" ht="15.75" customHeight="1">
      <c r="C747" s="201"/>
      <c r="E747" s="197"/>
    </row>
    <row r="748" ht="15.75" customHeight="1">
      <c r="C748" s="201"/>
      <c r="E748" s="197"/>
    </row>
    <row r="749" ht="15.75" customHeight="1">
      <c r="C749" s="201"/>
      <c r="E749" s="197"/>
    </row>
    <row r="750" ht="15.75" customHeight="1">
      <c r="C750" s="201"/>
      <c r="E750" s="197"/>
    </row>
    <row r="751" ht="15.75" customHeight="1">
      <c r="C751" s="201"/>
      <c r="E751" s="197"/>
    </row>
    <row r="752" ht="15.75" customHeight="1">
      <c r="C752" s="201"/>
      <c r="E752" s="197"/>
    </row>
    <row r="753" ht="15.75" customHeight="1">
      <c r="C753" s="201"/>
      <c r="E753" s="197"/>
    </row>
    <row r="754" ht="15.75" customHeight="1">
      <c r="C754" s="201"/>
      <c r="E754" s="197"/>
    </row>
    <row r="755" ht="15.75" customHeight="1">
      <c r="C755" s="201"/>
      <c r="E755" s="197"/>
    </row>
    <row r="756" ht="15.75" customHeight="1">
      <c r="C756" s="201"/>
      <c r="E756" s="197"/>
    </row>
    <row r="757" ht="15.75" customHeight="1">
      <c r="C757" s="201"/>
      <c r="E757" s="197"/>
    </row>
    <row r="758" ht="15.75" customHeight="1">
      <c r="C758" s="201"/>
      <c r="E758" s="197"/>
    </row>
    <row r="759" ht="15.75" customHeight="1">
      <c r="C759" s="201"/>
      <c r="E759" s="197"/>
    </row>
    <row r="760" ht="15.75" customHeight="1">
      <c r="C760" s="201"/>
      <c r="E760" s="197"/>
    </row>
    <row r="761" ht="15.75" customHeight="1">
      <c r="C761" s="201"/>
      <c r="E761" s="197"/>
    </row>
    <row r="762" ht="15.75" customHeight="1">
      <c r="C762" s="201"/>
      <c r="E762" s="197"/>
    </row>
    <row r="763" ht="15.75" customHeight="1">
      <c r="C763" s="201"/>
      <c r="E763" s="197"/>
    </row>
    <row r="764" ht="15.75" customHeight="1">
      <c r="C764" s="201"/>
      <c r="E764" s="197"/>
    </row>
    <row r="765" ht="15.75" customHeight="1">
      <c r="C765" s="201"/>
      <c r="E765" s="197"/>
    </row>
    <row r="766" ht="15.75" customHeight="1">
      <c r="C766" s="201"/>
      <c r="E766" s="197"/>
    </row>
    <row r="767" ht="15.75" customHeight="1">
      <c r="C767" s="201"/>
      <c r="E767" s="197"/>
    </row>
    <row r="768" ht="15.75" customHeight="1">
      <c r="C768" s="201"/>
      <c r="E768" s="197"/>
    </row>
    <row r="769" ht="15.75" customHeight="1">
      <c r="C769" s="201"/>
      <c r="E769" s="197"/>
    </row>
    <row r="770" ht="15.75" customHeight="1">
      <c r="C770" s="201"/>
      <c r="E770" s="197"/>
    </row>
    <row r="771" ht="15.75" customHeight="1">
      <c r="C771" s="201"/>
      <c r="E771" s="197"/>
    </row>
    <row r="772" ht="15.75" customHeight="1">
      <c r="C772" s="201"/>
      <c r="E772" s="197"/>
    </row>
    <row r="773" ht="15.75" customHeight="1">
      <c r="C773" s="201"/>
      <c r="E773" s="197"/>
    </row>
    <row r="774" ht="15.75" customHeight="1">
      <c r="C774" s="201"/>
      <c r="E774" s="197"/>
    </row>
    <row r="775" ht="15.75" customHeight="1">
      <c r="C775" s="201"/>
      <c r="E775" s="197"/>
    </row>
    <row r="776" ht="15.75" customHeight="1">
      <c r="C776" s="201"/>
      <c r="E776" s="197"/>
    </row>
    <row r="777" ht="15.75" customHeight="1">
      <c r="C777" s="201"/>
      <c r="E777" s="197"/>
    </row>
    <row r="778" ht="15.75" customHeight="1">
      <c r="C778" s="201"/>
      <c r="E778" s="197"/>
    </row>
    <row r="779" ht="15.75" customHeight="1">
      <c r="C779" s="201"/>
      <c r="E779" s="197"/>
    </row>
    <row r="780" ht="15.75" customHeight="1">
      <c r="C780" s="201"/>
      <c r="E780" s="197"/>
    </row>
    <row r="781" ht="15.75" customHeight="1">
      <c r="C781" s="201"/>
      <c r="E781" s="197"/>
    </row>
    <row r="782" ht="15.75" customHeight="1">
      <c r="C782" s="201"/>
      <c r="E782" s="197"/>
    </row>
    <row r="783" ht="15.75" customHeight="1">
      <c r="C783" s="201"/>
      <c r="E783" s="197"/>
    </row>
    <row r="784" ht="15.75" customHeight="1">
      <c r="C784" s="201"/>
      <c r="E784" s="197"/>
    </row>
    <row r="785" ht="15.75" customHeight="1">
      <c r="C785" s="201"/>
      <c r="E785" s="197"/>
    </row>
    <row r="786" ht="15.75" customHeight="1">
      <c r="C786" s="201"/>
      <c r="E786" s="197"/>
    </row>
    <row r="787" ht="15.75" customHeight="1">
      <c r="C787" s="201"/>
      <c r="E787" s="197"/>
    </row>
    <row r="788" ht="15.75" customHeight="1">
      <c r="C788" s="201"/>
      <c r="E788" s="197"/>
    </row>
    <row r="789" ht="15.75" customHeight="1">
      <c r="C789" s="201"/>
      <c r="E789" s="197"/>
    </row>
    <row r="790" ht="15.75" customHeight="1">
      <c r="C790" s="201"/>
      <c r="E790" s="197"/>
    </row>
    <row r="791" ht="15.75" customHeight="1">
      <c r="C791" s="201"/>
      <c r="E791" s="197"/>
    </row>
    <row r="792" ht="15.75" customHeight="1">
      <c r="C792" s="201"/>
      <c r="E792" s="197"/>
    </row>
    <row r="793" ht="15.75" customHeight="1">
      <c r="C793" s="201"/>
      <c r="E793" s="197"/>
    </row>
    <row r="794" ht="15.75" customHeight="1">
      <c r="C794" s="201"/>
      <c r="E794" s="197"/>
    </row>
    <row r="795" ht="15.75" customHeight="1">
      <c r="C795" s="201"/>
      <c r="E795" s="197"/>
    </row>
    <row r="796" ht="15.75" customHeight="1">
      <c r="C796" s="201"/>
      <c r="E796" s="197"/>
    </row>
    <row r="797" ht="15.75" customHeight="1">
      <c r="C797" s="201"/>
      <c r="E797" s="197"/>
    </row>
    <row r="798" ht="15.75" customHeight="1">
      <c r="C798" s="201"/>
      <c r="E798" s="197"/>
    </row>
    <row r="799" ht="15.75" customHeight="1">
      <c r="C799" s="201"/>
      <c r="E799" s="197"/>
    </row>
    <row r="800" ht="15.75" customHeight="1">
      <c r="C800" s="201"/>
      <c r="E800" s="197"/>
    </row>
    <row r="801" ht="15.75" customHeight="1">
      <c r="C801" s="201"/>
      <c r="E801" s="197"/>
    </row>
    <row r="802" ht="15.75" customHeight="1">
      <c r="C802" s="201"/>
      <c r="E802" s="197"/>
    </row>
    <row r="803" ht="15.75" customHeight="1">
      <c r="C803" s="201"/>
      <c r="E803" s="197"/>
    </row>
    <row r="804" ht="15.75" customHeight="1">
      <c r="C804" s="201"/>
      <c r="E804" s="197"/>
    </row>
    <row r="805" ht="15.75" customHeight="1">
      <c r="C805" s="201"/>
      <c r="E805" s="197"/>
    </row>
    <row r="806" ht="15.75" customHeight="1">
      <c r="C806" s="201"/>
      <c r="E806" s="197"/>
    </row>
    <row r="807" ht="15.75" customHeight="1">
      <c r="C807" s="201"/>
      <c r="E807" s="197"/>
    </row>
    <row r="808" ht="15.75" customHeight="1">
      <c r="C808" s="201"/>
      <c r="E808" s="197"/>
    </row>
    <row r="809" ht="15.75" customHeight="1">
      <c r="C809" s="201"/>
      <c r="E809" s="197"/>
    </row>
    <row r="810" ht="15.75" customHeight="1">
      <c r="C810" s="201"/>
      <c r="E810" s="197"/>
    </row>
    <row r="811" ht="15.75" customHeight="1">
      <c r="C811" s="201"/>
      <c r="E811" s="197"/>
    </row>
    <row r="812" ht="15.75" customHeight="1">
      <c r="C812" s="201"/>
      <c r="E812" s="197"/>
    </row>
    <row r="813" ht="15.75" customHeight="1">
      <c r="C813" s="201"/>
      <c r="E813" s="197"/>
    </row>
    <row r="814" ht="15.75" customHeight="1">
      <c r="C814" s="201"/>
      <c r="E814" s="197"/>
    </row>
    <row r="815" ht="15.75" customHeight="1">
      <c r="C815" s="201"/>
      <c r="E815" s="197"/>
    </row>
    <row r="816" ht="15.75" customHeight="1">
      <c r="C816" s="201"/>
      <c r="E816" s="197"/>
    </row>
    <row r="817" ht="15.75" customHeight="1">
      <c r="C817" s="201"/>
      <c r="E817" s="197"/>
    </row>
    <row r="818" ht="15.75" customHeight="1">
      <c r="C818" s="201"/>
      <c r="E818" s="197"/>
    </row>
    <row r="819" ht="15.75" customHeight="1">
      <c r="C819" s="201"/>
      <c r="E819" s="197"/>
    </row>
    <row r="820" ht="15.75" customHeight="1">
      <c r="C820" s="201"/>
      <c r="E820" s="197"/>
    </row>
    <row r="821" ht="15.75" customHeight="1">
      <c r="C821" s="201"/>
      <c r="E821" s="197"/>
    </row>
    <row r="822" ht="15.75" customHeight="1">
      <c r="C822" s="201"/>
      <c r="E822" s="197"/>
    </row>
    <row r="823" ht="15.75" customHeight="1">
      <c r="C823" s="201"/>
      <c r="E823" s="197"/>
    </row>
    <row r="824" ht="15.75" customHeight="1">
      <c r="C824" s="201"/>
      <c r="E824" s="197"/>
    </row>
    <row r="825" ht="15.75" customHeight="1">
      <c r="C825" s="201"/>
      <c r="E825" s="197"/>
    </row>
    <row r="826" ht="15.75" customHeight="1">
      <c r="C826" s="201"/>
      <c r="E826" s="197"/>
    </row>
    <row r="827" ht="15.75" customHeight="1">
      <c r="C827" s="201"/>
      <c r="E827" s="197"/>
    </row>
    <row r="828" ht="15.75" customHeight="1">
      <c r="C828" s="201"/>
      <c r="E828" s="197"/>
    </row>
    <row r="829" ht="15.75" customHeight="1">
      <c r="C829" s="201"/>
      <c r="E829" s="197"/>
    </row>
    <row r="830" ht="15.75" customHeight="1">
      <c r="C830" s="201"/>
      <c r="E830" s="197"/>
    </row>
    <row r="831" ht="15.75" customHeight="1">
      <c r="C831" s="201"/>
      <c r="E831" s="197"/>
    </row>
    <row r="832" ht="15.75" customHeight="1">
      <c r="C832" s="201"/>
      <c r="E832" s="197"/>
    </row>
    <row r="833" ht="15.75" customHeight="1">
      <c r="C833" s="201"/>
      <c r="E833" s="197"/>
    </row>
    <row r="834" ht="15.75" customHeight="1">
      <c r="C834" s="201"/>
      <c r="E834" s="197"/>
    </row>
    <row r="835" ht="15.75" customHeight="1">
      <c r="C835" s="201"/>
      <c r="E835" s="197"/>
    </row>
    <row r="836" ht="15.75" customHeight="1">
      <c r="C836" s="201"/>
      <c r="E836" s="197"/>
    </row>
    <row r="837" ht="15.75" customHeight="1">
      <c r="C837" s="201"/>
      <c r="E837" s="197"/>
    </row>
    <row r="838" ht="15.75" customHeight="1">
      <c r="C838" s="201"/>
      <c r="E838" s="197"/>
    </row>
    <row r="839" ht="15.75" customHeight="1">
      <c r="C839" s="201"/>
      <c r="E839" s="197"/>
    </row>
    <row r="840" ht="15.75" customHeight="1">
      <c r="C840" s="201"/>
      <c r="E840" s="197"/>
    </row>
    <row r="841" ht="15.75" customHeight="1">
      <c r="C841" s="201"/>
      <c r="E841" s="197"/>
    </row>
    <row r="842" ht="15.75" customHeight="1">
      <c r="C842" s="201"/>
      <c r="E842" s="197"/>
    </row>
    <row r="843" ht="15.75" customHeight="1">
      <c r="C843" s="201"/>
      <c r="E843" s="197"/>
    </row>
    <row r="844" ht="15.75" customHeight="1">
      <c r="C844" s="201"/>
      <c r="E844" s="197"/>
    </row>
    <row r="845" ht="15.75" customHeight="1">
      <c r="C845" s="201"/>
      <c r="E845" s="197"/>
    </row>
    <row r="846" ht="15.75" customHeight="1">
      <c r="C846" s="201"/>
      <c r="E846" s="197"/>
    </row>
    <row r="847" ht="15.75" customHeight="1">
      <c r="C847" s="201"/>
      <c r="E847" s="197"/>
    </row>
    <row r="848" ht="15.75" customHeight="1">
      <c r="C848" s="201"/>
      <c r="E848" s="197"/>
    </row>
    <row r="849" ht="15.75" customHeight="1">
      <c r="C849" s="201"/>
      <c r="E849" s="197"/>
    </row>
    <row r="850" ht="15.75" customHeight="1">
      <c r="C850" s="201"/>
      <c r="E850" s="197"/>
    </row>
    <row r="851" ht="15.75" customHeight="1">
      <c r="C851" s="201"/>
      <c r="E851" s="197"/>
    </row>
    <row r="852" ht="15.75" customHeight="1">
      <c r="C852" s="201"/>
      <c r="E852" s="197"/>
    </row>
    <row r="853" ht="15.75" customHeight="1">
      <c r="C853" s="201"/>
      <c r="E853" s="197"/>
    </row>
    <row r="854" ht="15.75" customHeight="1">
      <c r="C854" s="201"/>
      <c r="E854" s="197"/>
    </row>
    <row r="855" ht="15.75" customHeight="1">
      <c r="C855" s="201"/>
      <c r="E855" s="197"/>
    </row>
    <row r="856" ht="15.75" customHeight="1">
      <c r="C856" s="201"/>
      <c r="E856" s="197"/>
    </row>
    <row r="857" ht="15.75" customHeight="1">
      <c r="C857" s="201"/>
      <c r="E857" s="197"/>
    </row>
    <row r="858" ht="15.75" customHeight="1">
      <c r="C858" s="201"/>
      <c r="E858" s="197"/>
    </row>
    <row r="859" ht="15.75" customHeight="1">
      <c r="C859" s="201"/>
      <c r="E859" s="197"/>
    </row>
    <row r="860" ht="15.75" customHeight="1">
      <c r="C860" s="201"/>
      <c r="E860" s="197"/>
    </row>
    <row r="861" ht="15.75" customHeight="1">
      <c r="C861" s="201"/>
      <c r="E861" s="197"/>
    </row>
    <row r="862" ht="15.75" customHeight="1">
      <c r="C862" s="201"/>
      <c r="E862" s="197"/>
    </row>
    <row r="863" ht="15.75" customHeight="1">
      <c r="C863" s="201"/>
      <c r="E863" s="197"/>
    </row>
    <row r="864" ht="15.75" customHeight="1">
      <c r="C864" s="201"/>
      <c r="E864" s="197"/>
    </row>
    <row r="865" ht="15.75" customHeight="1">
      <c r="C865" s="201"/>
      <c r="E865" s="197"/>
    </row>
    <row r="866" ht="15.75" customHeight="1">
      <c r="C866" s="201"/>
      <c r="E866" s="197"/>
    </row>
    <row r="867" ht="15.75" customHeight="1">
      <c r="C867" s="201"/>
      <c r="E867" s="197"/>
    </row>
    <row r="868" ht="15.75" customHeight="1">
      <c r="C868" s="201"/>
      <c r="E868" s="197"/>
    </row>
    <row r="869" ht="15.75" customHeight="1">
      <c r="C869" s="201"/>
      <c r="E869" s="197"/>
    </row>
    <row r="870" ht="15.75" customHeight="1">
      <c r="C870" s="201"/>
      <c r="E870" s="197"/>
    </row>
    <row r="871" ht="15.75" customHeight="1">
      <c r="C871" s="201"/>
      <c r="E871" s="197"/>
    </row>
    <row r="872" ht="15.75" customHeight="1">
      <c r="C872" s="201"/>
      <c r="E872" s="197"/>
    </row>
    <row r="873" ht="15.75" customHeight="1">
      <c r="C873" s="201"/>
      <c r="E873" s="197"/>
    </row>
    <row r="874" ht="15.75" customHeight="1">
      <c r="C874" s="201"/>
      <c r="E874" s="197"/>
    </row>
    <row r="875" ht="15.75" customHeight="1">
      <c r="C875" s="201"/>
      <c r="E875" s="197"/>
    </row>
    <row r="876" ht="15.75" customHeight="1">
      <c r="C876" s="201"/>
      <c r="E876" s="197"/>
    </row>
    <row r="877" ht="15.75" customHeight="1">
      <c r="C877" s="201"/>
      <c r="E877" s="197"/>
    </row>
    <row r="878" ht="15.75" customHeight="1">
      <c r="C878" s="201"/>
      <c r="E878" s="197"/>
    </row>
    <row r="879" ht="15.75" customHeight="1">
      <c r="C879" s="201"/>
      <c r="E879" s="197"/>
    </row>
    <row r="880" ht="15.75" customHeight="1">
      <c r="C880" s="201"/>
      <c r="E880" s="197"/>
    </row>
    <row r="881" ht="15.75" customHeight="1">
      <c r="C881" s="201"/>
      <c r="E881" s="197"/>
    </row>
    <row r="882" ht="15.75" customHeight="1">
      <c r="C882" s="201"/>
      <c r="E882" s="197"/>
    </row>
    <row r="883" ht="15.75" customHeight="1">
      <c r="C883" s="201"/>
      <c r="E883" s="197"/>
    </row>
    <row r="884" ht="15.75" customHeight="1">
      <c r="C884" s="201"/>
      <c r="E884" s="197"/>
    </row>
    <row r="885" ht="15.75" customHeight="1">
      <c r="C885" s="201"/>
      <c r="E885" s="197"/>
    </row>
    <row r="886" ht="15.75" customHeight="1">
      <c r="C886" s="201"/>
      <c r="E886" s="197"/>
    </row>
    <row r="887" ht="15.75" customHeight="1">
      <c r="C887" s="201"/>
      <c r="E887" s="197"/>
    </row>
    <row r="888" ht="15.75" customHeight="1">
      <c r="C888" s="201"/>
      <c r="E888" s="197"/>
    </row>
    <row r="889" ht="15.75" customHeight="1">
      <c r="C889" s="201"/>
      <c r="E889" s="197"/>
    </row>
    <row r="890" ht="15.75" customHeight="1">
      <c r="C890" s="201"/>
      <c r="E890" s="197"/>
    </row>
    <row r="891" ht="15.75" customHeight="1">
      <c r="C891" s="201"/>
      <c r="E891" s="197"/>
    </row>
    <row r="892" ht="15.75" customHeight="1">
      <c r="C892" s="201"/>
      <c r="E892" s="197"/>
    </row>
    <row r="893" ht="15.75" customHeight="1">
      <c r="C893" s="201"/>
      <c r="E893" s="197"/>
    </row>
    <row r="894" ht="15.75" customHeight="1">
      <c r="C894" s="201"/>
      <c r="E894" s="197"/>
    </row>
    <row r="895" ht="15.75" customHeight="1">
      <c r="C895" s="201"/>
      <c r="E895" s="197"/>
    </row>
    <row r="896" ht="15.75" customHeight="1">
      <c r="C896" s="201"/>
      <c r="E896" s="197"/>
    </row>
    <row r="897" ht="15.75" customHeight="1">
      <c r="C897" s="201"/>
      <c r="E897" s="197"/>
    </row>
    <row r="898" ht="15.75" customHeight="1">
      <c r="C898" s="201"/>
      <c r="E898" s="197"/>
    </row>
    <row r="899" ht="15.75" customHeight="1">
      <c r="C899" s="201"/>
      <c r="E899" s="197"/>
    </row>
    <row r="900" ht="15.75" customHeight="1">
      <c r="C900" s="201"/>
      <c r="E900" s="197"/>
    </row>
    <row r="901" ht="15.75" customHeight="1">
      <c r="C901" s="201"/>
      <c r="E901" s="197"/>
    </row>
    <row r="902" ht="15.75" customHeight="1">
      <c r="C902" s="201"/>
      <c r="E902" s="197"/>
    </row>
    <row r="903" ht="15.75" customHeight="1">
      <c r="C903" s="201"/>
      <c r="E903" s="197"/>
    </row>
    <row r="904" ht="15.75" customHeight="1">
      <c r="C904" s="201"/>
      <c r="E904" s="197"/>
    </row>
    <row r="905" ht="15.75" customHeight="1">
      <c r="C905" s="201"/>
      <c r="E905" s="197"/>
    </row>
    <row r="906" ht="15.75" customHeight="1">
      <c r="C906" s="201"/>
      <c r="E906" s="197"/>
    </row>
    <row r="907" ht="15.75" customHeight="1">
      <c r="C907" s="201"/>
      <c r="E907" s="197"/>
    </row>
    <row r="908" ht="15.75" customHeight="1">
      <c r="C908" s="201"/>
      <c r="E908" s="197"/>
    </row>
    <row r="909" ht="15.75" customHeight="1">
      <c r="C909" s="201"/>
      <c r="E909" s="197"/>
    </row>
    <row r="910" ht="15.75" customHeight="1">
      <c r="C910" s="201"/>
      <c r="E910" s="197"/>
    </row>
    <row r="911" ht="15.75" customHeight="1">
      <c r="C911" s="201"/>
      <c r="E911" s="197"/>
    </row>
    <row r="912" ht="15.75" customHeight="1">
      <c r="C912" s="201"/>
      <c r="E912" s="197"/>
    </row>
    <row r="913" ht="15.75" customHeight="1">
      <c r="C913" s="201"/>
      <c r="E913" s="197"/>
    </row>
    <row r="914" ht="15.75" customHeight="1">
      <c r="C914" s="201"/>
      <c r="E914" s="197"/>
    </row>
    <row r="915" ht="15.75" customHeight="1">
      <c r="C915" s="201"/>
      <c r="E915" s="197"/>
    </row>
    <row r="916" ht="15.75" customHeight="1">
      <c r="C916" s="201"/>
      <c r="E916" s="197"/>
    </row>
    <row r="917" ht="15.75" customHeight="1">
      <c r="C917" s="201"/>
      <c r="E917" s="197"/>
    </row>
    <row r="918" ht="15.75" customHeight="1">
      <c r="C918" s="201"/>
      <c r="E918" s="197"/>
    </row>
    <row r="919" ht="15.75" customHeight="1">
      <c r="C919" s="201"/>
      <c r="E919" s="197"/>
    </row>
    <row r="920" ht="15.75" customHeight="1">
      <c r="C920" s="201"/>
      <c r="E920" s="197"/>
    </row>
    <row r="921" ht="15.75" customHeight="1">
      <c r="C921" s="201"/>
      <c r="E921" s="197"/>
    </row>
    <row r="922" ht="15.75" customHeight="1">
      <c r="C922" s="201"/>
      <c r="E922" s="197"/>
    </row>
    <row r="923" ht="15.75" customHeight="1">
      <c r="C923" s="201"/>
      <c r="E923" s="197"/>
    </row>
    <row r="924" ht="15.75" customHeight="1">
      <c r="C924" s="201"/>
      <c r="E924" s="197"/>
    </row>
    <row r="925" ht="15.75" customHeight="1">
      <c r="C925" s="201"/>
      <c r="E925" s="197"/>
    </row>
    <row r="926" ht="15.75" customHeight="1">
      <c r="C926" s="201"/>
      <c r="E926" s="197"/>
    </row>
    <row r="927" ht="15.75" customHeight="1">
      <c r="C927" s="201"/>
      <c r="E927" s="197"/>
    </row>
    <row r="928" ht="15.75" customHeight="1">
      <c r="C928" s="201"/>
      <c r="E928" s="197"/>
    </row>
    <row r="929" ht="15.75" customHeight="1">
      <c r="C929" s="201"/>
      <c r="E929" s="197"/>
    </row>
    <row r="930" ht="15.75" customHeight="1">
      <c r="C930" s="201"/>
      <c r="E930" s="197"/>
    </row>
    <row r="931" ht="15.75" customHeight="1">
      <c r="C931" s="201"/>
      <c r="E931" s="197"/>
    </row>
    <row r="932" ht="15.75" customHeight="1">
      <c r="C932" s="201"/>
      <c r="E932" s="197"/>
    </row>
    <row r="933" ht="15.75" customHeight="1">
      <c r="C933" s="201"/>
      <c r="E933" s="197"/>
    </row>
    <row r="934" ht="15.75" customHeight="1">
      <c r="C934" s="201"/>
      <c r="E934" s="197"/>
    </row>
    <row r="935" ht="15.75" customHeight="1">
      <c r="C935" s="201"/>
      <c r="E935" s="197"/>
    </row>
    <row r="936" ht="15.75" customHeight="1">
      <c r="C936" s="201"/>
      <c r="E936" s="197"/>
    </row>
    <row r="937" ht="15.75" customHeight="1">
      <c r="C937" s="201"/>
      <c r="E937" s="197"/>
    </row>
    <row r="938" ht="15.75" customHeight="1">
      <c r="C938" s="201"/>
      <c r="E938" s="197"/>
    </row>
    <row r="939" ht="15.75" customHeight="1">
      <c r="C939" s="201"/>
      <c r="E939" s="197"/>
    </row>
    <row r="940" ht="15.75" customHeight="1">
      <c r="C940" s="201"/>
      <c r="E940" s="197"/>
    </row>
    <row r="941" ht="15.75" customHeight="1">
      <c r="C941" s="201"/>
      <c r="E941" s="197"/>
    </row>
    <row r="942" ht="15.75" customHeight="1">
      <c r="C942" s="201"/>
      <c r="E942" s="197"/>
    </row>
    <row r="943" ht="15.75" customHeight="1">
      <c r="C943" s="201"/>
      <c r="E943" s="197"/>
    </row>
    <row r="944" ht="15.75" customHeight="1">
      <c r="C944" s="201"/>
      <c r="E944" s="197"/>
    </row>
    <row r="945" ht="15.75" customHeight="1">
      <c r="C945" s="201"/>
      <c r="E945" s="197"/>
    </row>
    <row r="946" ht="15.75" customHeight="1">
      <c r="C946" s="201"/>
      <c r="E946" s="197"/>
    </row>
    <row r="947" ht="15.75" customHeight="1">
      <c r="C947" s="201"/>
      <c r="E947" s="197"/>
    </row>
    <row r="948" ht="15.75" customHeight="1">
      <c r="C948" s="201"/>
      <c r="E948" s="197"/>
    </row>
    <row r="949" ht="15.75" customHeight="1">
      <c r="C949" s="201"/>
      <c r="E949" s="197"/>
    </row>
    <row r="950" ht="15.75" customHeight="1">
      <c r="C950" s="201"/>
      <c r="E950" s="197"/>
    </row>
    <row r="951" ht="15.75" customHeight="1">
      <c r="C951" s="201"/>
      <c r="E951" s="197"/>
    </row>
    <row r="952" ht="15.75" customHeight="1">
      <c r="C952" s="201"/>
      <c r="E952" s="197"/>
    </row>
    <row r="953" ht="15.75" customHeight="1">
      <c r="C953" s="201"/>
      <c r="E953" s="197"/>
    </row>
    <row r="954" ht="15.75" customHeight="1">
      <c r="C954" s="201"/>
      <c r="E954" s="197"/>
    </row>
    <row r="955" ht="15.75" customHeight="1">
      <c r="C955" s="201"/>
      <c r="E955" s="197"/>
    </row>
    <row r="956" ht="15.75" customHeight="1">
      <c r="C956" s="201"/>
      <c r="E956" s="197"/>
    </row>
    <row r="957" ht="15.75" customHeight="1">
      <c r="C957" s="201"/>
      <c r="E957" s="197"/>
    </row>
    <row r="958" ht="15.75" customHeight="1">
      <c r="C958" s="201"/>
      <c r="E958" s="197"/>
    </row>
    <row r="959" ht="15.75" customHeight="1">
      <c r="C959" s="201"/>
      <c r="E959" s="197"/>
    </row>
    <row r="960" ht="15.75" customHeight="1">
      <c r="C960" s="201"/>
      <c r="E960" s="197"/>
    </row>
    <row r="961" ht="15.75" customHeight="1">
      <c r="C961" s="201"/>
      <c r="E961" s="197"/>
    </row>
    <row r="962" ht="15.75" customHeight="1">
      <c r="C962" s="201"/>
      <c r="E962" s="197"/>
    </row>
    <row r="963" ht="15.75" customHeight="1">
      <c r="C963" s="201"/>
      <c r="E963" s="197"/>
    </row>
    <row r="964" ht="15.75" customHeight="1">
      <c r="C964" s="201"/>
      <c r="E964" s="197"/>
    </row>
    <row r="965" ht="15.75" customHeight="1">
      <c r="C965" s="201"/>
      <c r="E965" s="197"/>
    </row>
    <row r="966" ht="15.75" customHeight="1">
      <c r="C966" s="201"/>
      <c r="E966" s="197"/>
    </row>
    <row r="967" ht="15.75" customHeight="1">
      <c r="C967" s="201"/>
      <c r="E967" s="197"/>
    </row>
    <row r="968" ht="15.75" customHeight="1">
      <c r="C968" s="201"/>
      <c r="E968" s="197"/>
    </row>
    <row r="969" ht="15.75" customHeight="1">
      <c r="C969" s="201"/>
      <c r="E969" s="197"/>
    </row>
    <row r="970" ht="15.75" customHeight="1">
      <c r="C970" s="201"/>
      <c r="E970" s="197"/>
    </row>
    <row r="971" ht="15.75" customHeight="1">
      <c r="C971" s="201"/>
      <c r="E971" s="197"/>
    </row>
    <row r="972" ht="15.75" customHeight="1">
      <c r="C972" s="201"/>
      <c r="E972" s="197"/>
    </row>
    <row r="973" ht="15.75" customHeight="1">
      <c r="C973" s="201"/>
      <c r="E973" s="197"/>
    </row>
    <row r="974" ht="15.75" customHeight="1">
      <c r="C974" s="201"/>
      <c r="E974" s="197"/>
    </row>
    <row r="975" ht="15.75" customHeight="1">
      <c r="C975" s="201"/>
      <c r="E975" s="197"/>
    </row>
    <row r="976" ht="15.75" customHeight="1">
      <c r="C976" s="201"/>
      <c r="E976" s="197"/>
    </row>
    <row r="977" ht="15.75" customHeight="1">
      <c r="C977" s="201"/>
      <c r="E977" s="197"/>
    </row>
    <row r="978" ht="15.75" customHeight="1">
      <c r="C978" s="201"/>
      <c r="E978" s="197"/>
    </row>
    <row r="979" ht="15.75" customHeight="1">
      <c r="C979" s="201"/>
      <c r="E979" s="197"/>
    </row>
    <row r="980" ht="15.75" customHeight="1">
      <c r="C980" s="201"/>
      <c r="E980" s="197"/>
    </row>
    <row r="981" ht="15.75" customHeight="1">
      <c r="C981" s="201"/>
      <c r="E981" s="197"/>
    </row>
    <row r="982" ht="15.75" customHeight="1">
      <c r="C982" s="201"/>
      <c r="E982" s="197"/>
    </row>
    <row r="983" ht="15.75" customHeight="1">
      <c r="C983" s="201"/>
      <c r="E983" s="197"/>
    </row>
    <row r="984" ht="15.75" customHeight="1">
      <c r="C984" s="201"/>
      <c r="E984" s="197"/>
    </row>
    <row r="985" ht="15.75" customHeight="1">
      <c r="C985" s="201"/>
      <c r="E985" s="197"/>
    </row>
    <row r="986" ht="15.75" customHeight="1">
      <c r="C986" s="201"/>
      <c r="E986" s="197"/>
    </row>
    <row r="987" ht="15.75" customHeight="1">
      <c r="C987" s="201"/>
      <c r="E987" s="197"/>
    </row>
    <row r="988" ht="15.75" customHeight="1">
      <c r="C988" s="201"/>
      <c r="E988" s="197"/>
    </row>
    <row r="989" ht="15.75" customHeight="1">
      <c r="C989" s="201"/>
      <c r="E989" s="197"/>
    </row>
    <row r="990" ht="15.75" customHeight="1">
      <c r="C990" s="201"/>
      <c r="E990" s="197"/>
    </row>
    <row r="991" ht="15.75" customHeight="1">
      <c r="C991" s="201"/>
      <c r="E991" s="197"/>
    </row>
    <row r="992" ht="15.75" customHeight="1">
      <c r="C992" s="201"/>
      <c r="E992" s="197"/>
    </row>
    <row r="993" ht="15.75" customHeight="1">
      <c r="C993" s="201"/>
      <c r="E993" s="197"/>
    </row>
    <row r="994" ht="15.75" customHeight="1">
      <c r="C994" s="201"/>
      <c r="E994" s="197"/>
    </row>
    <row r="995" ht="15.75" customHeight="1">
      <c r="C995" s="201"/>
      <c r="E995" s="197"/>
    </row>
    <row r="996" ht="15.75" customHeight="1">
      <c r="C996" s="201"/>
      <c r="E996" s="197"/>
    </row>
    <row r="997" ht="15.75" customHeight="1">
      <c r="C997" s="201"/>
      <c r="E997" s="197"/>
    </row>
    <row r="998" ht="15.75" customHeight="1">
      <c r="C998" s="201"/>
      <c r="E998" s="197"/>
    </row>
    <row r="999" ht="15.75" customHeight="1">
      <c r="C999" s="201"/>
      <c r="E999" s="197"/>
    </row>
    <row r="1000" ht="15.75" customHeight="1">
      <c r="C1000" s="201"/>
      <c r="E1000" s="197"/>
    </row>
    <row r="1001" ht="15.75" customHeight="1">
      <c r="C1001" s="201"/>
      <c r="E1001" s="197"/>
    </row>
    <row r="1002" ht="15.75" customHeight="1">
      <c r="C1002" s="201"/>
      <c r="E1002" s="197"/>
    </row>
    <row r="1003" ht="15.75" customHeight="1">
      <c r="C1003" s="201"/>
      <c r="E1003" s="197"/>
    </row>
    <row r="1004" ht="15.75" customHeight="1">
      <c r="C1004" s="201"/>
      <c r="E1004" s="197"/>
    </row>
    <row r="1005" ht="15.75" customHeight="1">
      <c r="C1005" s="201"/>
      <c r="E1005" s="197"/>
    </row>
  </sheetData>
  <mergeCells count="1">
    <mergeCell ref="A1:F1"/>
  </mergeCells>
  <conditionalFormatting sqref="F58:F69">
    <cfRule type="cellIs" dxfId="0" priority="1" operator="lessThan">
      <formula>3</formula>
    </cfRule>
  </conditionalFormatting>
  <conditionalFormatting sqref="F58:F69">
    <cfRule type="cellIs" dxfId="1" priority="2" operator="equal">
      <formula>3</formula>
    </cfRule>
  </conditionalFormatting>
  <conditionalFormatting sqref="F58:F69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63.43"/>
    <col customWidth="1" min="3" max="3" width="45.14"/>
    <col customWidth="1" min="4" max="4" width="17.29"/>
    <col customWidth="1" min="5" max="5" width="12.14"/>
    <col customWidth="1" min="6" max="6" width="11.14"/>
    <col customWidth="1" min="7" max="7" width="28.43"/>
    <col customWidth="1" min="8" max="8" width="14.86"/>
    <col customWidth="1" min="9" max="9" width="13.43"/>
    <col customWidth="1" min="10" max="10" width="17.71"/>
    <col customWidth="1" min="11" max="11" width="30.29"/>
    <col customWidth="1" min="12" max="12" width="45.86"/>
    <col customWidth="1" min="13" max="13" width="27.86"/>
    <col customWidth="1" min="14" max="14" width="49.57"/>
    <col customWidth="1" min="15" max="15" width="26.71"/>
    <col customWidth="1" min="16" max="28" width="11.14"/>
  </cols>
  <sheetData>
    <row r="1">
      <c r="A1" s="2" t="s">
        <v>1</v>
      </c>
      <c r="B1" s="4"/>
      <c r="C1" s="4"/>
      <c r="D1" s="4"/>
      <c r="E1" s="4"/>
      <c r="F1" s="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5"/>
      <c r="B2" s="14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55"/>
      <c r="H2" s="155"/>
      <c r="I2" s="156"/>
      <c r="J2" s="156"/>
      <c r="K2" s="156"/>
      <c r="L2" s="156"/>
      <c r="M2" s="156"/>
      <c r="N2" s="156"/>
      <c r="O2" s="156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3.5" customHeight="1">
      <c r="A3" s="11"/>
      <c r="B3" s="160">
        <v>104.0</v>
      </c>
      <c r="C3" s="25"/>
      <c r="D3" s="25"/>
      <c r="E3" s="25"/>
      <c r="F3" s="25"/>
    </row>
    <row r="4" ht="13.5" customHeight="1">
      <c r="A4" s="9"/>
      <c r="B4" s="163" t="s">
        <v>373</v>
      </c>
      <c r="C4" s="164" t="s">
        <v>375</v>
      </c>
      <c r="D4" s="36" t="s">
        <v>41</v>
      </c>
      <c r="E4" s="36">
        <v>5.0</v>
      </c>
      <c r="F4" s="36">
        <v>28.0</v>
      </c>
      <c r="G4" s="166" t="s">
        <v>378</v>
      </c>
    </row>
    <row r="5" ht="13.5" customHeight="1">
      <c r="A5" s="9"/>
      <c r="B5" s="163" t="s">
        <v>379</v>
      </c>
      <c r="C5" s="164" t="s">
        <v>380</v>
      </c>
      <c r="D5" s="36" t="s">
        <v>48</v>
      </c>
      <c r="E5" s="36">
        <v>5.0</v>
      </c>
      <c r="F5" s="36">
        <v>28.0</v>
      </c>
      <c r="G5" s="169" t="s">
        <v>382</v>
      </c>
    </row>
    <row r="6" ht="13.5" customHeight="1">
      <c r="A6" s="9"/>
      <c r="B6" s="44" t="s">
        <v>383</v>
      </c>
      <c r="C6" s="44" t="s">
        <v>384</v>
      </c>
      <c r="D6" s="34" t="s">
        <v>41</v>
      </c>
      <c r="E6" s="36">
        <v>5.0</v>
      </c>
      <c r="F6" s="36">
        <v>28.0</v>
      </c>
      <c r="G6" s="166" t="s">
        <v>386</v>
      </c>
    </row>
    <row r="7" ht="13.5" customHeight="1">
      <c r="A7" s="9"/>
      <c r="B7" s="163" t="s">
        <v>387</v>
      </c>
      <c r="C7" s="164" t="s">
        <v>388</v>
      </c>
      <c r="D7" s="36" t="s">
        <v>41</v>
      </c>
      <c r="E7" s="36">
        <v>5.0</v>
      </c>
      <c r="F7" s="36">
        <v>28.0</v>
      </c>
      <c r="G7" s="166" t="s">
        <v>386</v>
      </c>
      <c r="H7" s="144" t="s">
        <v>389</v>
      </c>
    </row>
    <row r="8" ht="13.5" customHeight="1">
      <c r="A8" s="9"/>
      <c r="B8" s="163" t="s">
        <v>27</v>
      </c>
      <c r="C8" s="38" t="s">
        <v>55</v>
      </c>
      <c r="D8" s="36" t="s">
        <v>41</v>
      </c>
      <c r="E8" s="36">
        <v>4.0</v>
      </c>
      <c r="F8" s="36">
        <v>28.0</v>
      </c>
      <c r="G8" s="171"/>
    </row>
    <row r="9" ht="13.5" customHeight="1">
      <c r="A9" s="9"/>
      <c r="B9" s="45"/>
      <c r="C9" s="45"/>
      <c r="D9" s="45"/>
      <c r="E9" s="45"/>
      <c r="F9" s="45"/>
      <c r="G9" s="171"/>
    </row>
    <row r="10" ht="13.5" customHeight="1">
      <c r="A10" s="11"/>
      <c r="B10" s="175">
        <v>304.0</v>
      </c>
      <c r="C10" s="25"/>
      <c r="D10" s="25"/>
      <c r="E10" s="25"/>
      <c r="F10" s="25"/>
      <c r="G10" s="171"/>
    </row>
    <row r="11" ht="13.5" customHeight="1">
      <c r="A11" s="9"/>
      <c r="B11" s="28" t="s">
        <v>397</v>
      </c>
      <c r="C11" s="38" t="s">
        <v>109</v>
      </c>
      <c r="D11" s="36" t="s">
        <v>41</v>
      </c>
      <c r="E11" s="36">
        <v>5.0</v>
      </c>
      <c r="F11" s="36">
        <v>25.0</v>
      </c>
      <c r="G11" s="171"/>
    </row>
    <row r="12" ht="13.5" customHeight="1">
      <c r="A12" s="9"/>
      <c r="B12" s="28" t="s">
        <v>399</v>
      </c>
      <c r="C12" s="38" t="s">
        <v>128</v>
      </c>
      <c r="D12" s="36" t="s">
        <v>41</v>
      </c>
      <c r="E12" s="36">
        <v>5.0</v>
      </c>
      <c r="F12" s="36">
        <v>25.0</v>
      </c>
      <c r="G12" s="171"/>
    </row>
    <row r="13" ht="13.5" customHeight="1">
      <c r="A13" s="9"/>
      <c r="B13" s="28" t="s">
        <v>402</v>
      </c>
      <c r="C13" s="38" t="s">
        <v>75</v>
      </c>
      <c r="D13" s="36" t="s">
        <v>56</v>
      </c>
      <c r="E13" s="36">
        <v>5.0</v>
      </c>
      <c r="F13" s="36">
        <v>25.0</v>
      </c>
      <c r="G13" s="171"/>
    </row>
    <row r="14" ht="13.5" customHeight="1">
      <c r="A14" s="9"/>
      <c r="B14" s="28" t="s">
        <v>405</v>
      </c>
      <c r="C14" s="38" t="s">
        <v>407</v>
      </c>
      <c r="D14" s="36" t="s">
        <v>41</v>
      </c>
      <c r="E14" s="36">
        <v>5.0</v>
      </c>
      <c r="F14" s="36">
        <v>25.0</v>
      </c>
      <c r="G14" s="166" t="s">
        <v>409</v>
      </c>
    </row>
    <row r="15" ht="13.5" customHeight="1">
      <c r="A15" s="9"/>
      <c r="B15" s="28" t="s">
        <v>411</v>
      </c>
      <c r="C15" s="38" t="s">
        <v>412</v>
      </c>
      <c r="D15" s="36" t="s">
        <v>58</v>
      </c>
      <c r="E15" s="36">
        <v>5.0</v>
      </c>
      <c r="F15" s="36">
        <v>25.0</v>
      </c>
      <c r="G15" s="166" t="s">
        <v>414</v>
      </c>
    </row>
    <row r="16" ht="13.5" customHeight="1">
      <c r="A16" s="9"/>
      <c r="B16" s="45"/>
      <c r="C16" s="45"/>
      <c r="D16" s="45"/>
      <c r="E16" s="45"/>
      <c r="F16" s="45"/>
      <c r="G16" s="171"/>
    </row>
    <row r="17" ht="13.5" customHeight="1">
      <c r="A17" s="9"/>
      <c r="B17" s="175">
        <v>504.0</v>
      </c>
      <c r="C17" s="25"/>
      <c r="D17" s="25"/>
      <c r="E17" s="25"/>
      <c r="F17" s="25"/>
      <c r="G17" s="171"/>
    </row>
    <row r="18" ht="13.5" customHeight="1">
      <c r="A18" s="9"/>
      <c r="B18" s="28" t="s">
        <v>419</v>
      </c>
      <c r="C18" s="38" t="s">
        <v>388</v>
      </c>
      <c r="D18" s="36" t="s">
        <v>41</v>
      </c>
      <c r="E18" s="36">
        <v>5.0</v>
      </c>
      <c r="F18" s="36">
        <v>15.0</v>
      </c>
      <c r="G18" s="166" t="s">
        <v>386</v>
      </c>
      <c r="H18" s="144" t="s">
        <v>389</v>
      </c>
    </row>
    <row r="19" ht="13.5" customHeight="1">
      <c r="A19" s="9"/>
      <c r="B19" s="28" t="s">
        <v>423</v>
      </c>
      <c r="C19" s="38" t="s">
        <v>375</v>
      </c>
      <c r="D19" s="36" t="s">
        <v>41</v>
      </c>
      <c r="E19" s="36">
        <v>5.0</v>
      </c>
      <c r="F19" s="36">
        <v>15.0</v>
      </c>
      <c r="G19" s="166" t="s">
        <v>378</v>
      </c>
    </row>
    <row r="20" ht="13.5" customHeight="1">
      <c r="A20" s="9"/>
      <c r="B20" s="28" t="s">
        <v>426</v>
      </c>
      <c r="C20" s="38" t="s">
        <v>427</v>
      </c>
      <c r="D20" s="36" t="s">
        <v>41</v>
      </c>
      <c r="E20" s="36">
        <v>5.0</v>
      </c>
      <c r="F20" s="36">
        <v>15.0</v>
      </c>
      <c r="G20" s="178" t="s">
        <v>429</v>
      </c>
      <c r="H20" s="180"/>
      <c r="I20" s="180"/>
    </row>
    <row r="21" ht="13.5" customHeight="1">
      <c r="A21" s="9"/>
      <c r="B21" s="28" t="s">
        <v>430</v>
      </c>
      <c r="C21" s="38" t="s">
        <v>431</v>
      </c>
      <c r="D21" s="36" t="s">
        <v>41</v>
      </c>
      <c r="E21" s="36">
        <v>5.0</v>
      </c>
      <c r="F21" s="36">
        <v>15.0</v>
      </c>
      <c r="G21" s="171"/>
    </row>
    <row r="22" ht="13.5" customHeight="1">
      <c r="A22" s="9"/>
      <c r="B22" s="28" t="s">
        <v>432</v>
      </c>
      <c r="C22" s="38" t="s">
        <v>433</v>
      </c>
      <c r="D22" s="36" t="s">
        <v>58</v>
      </c>
      <c r="E22" s="36">
        <v>5.0</v>
      </c>
      <c r="F22" s="36">
        <v>15.0</v>
      </c>
      <c r="G22" s="171"/>
    </row>
    <row r="23" ht="13.5" customHeight="1">
      <c r="A23" s="9"/>
      <c r="B23" s="45"/>
      <c r="C23" s="45"/>
      <c r="D23" s="45"/>
      <c r="E23" s="45"/>
      <c r="F23" s="45"/>
      <c r="G23" s="171"/>
    </row>
    <row r="24" ht="13.5" customHeight="1">
      <c r="A24" s="9"/>
      <c r="B24" s="175">
        <v>704.0</v>
      </c>
      <c r="C24" s="25"/>
      <c r="D24" s="25"/>
      <c r="E24" s="25"/>
      <c r="F24" s="25"/>
      <c r="G24" s="171"/>
    </row>
    <row r="25" ht="13.5" customHeight="1">
      <c r="A25" s="9"/>
      <c r="B25" s="28" t="s">
        <v>435</v>
      </c>
      <c r="C25" s="38" t="s">
        <v>436</v>
      </c>
      <c r="D25" s="36" t="s">
        <v>41</v>
      </c>
      <c r="E25" s="36">
        <v>5.0</v>
      </c>
      <c r="F25" s="36">
        <v>21.0</v>
      </c>
      <c r="G25" s="166" t="s">
        <v>437</v>
      </c>
    </row>
    <row r="26" ht="13.5" customHeight="1">
      <c r="A26" s="9"/>
      <c r="B26" s="28" t="s">
        <v>438</v>
      </c>
      <c r="C26" s="38" t="s">
        <v>384</v>
      </c>
      <c r="D26" s="36" t="s">
        <v>439</v>
      </c>
      <c r="E26" s="36">
        <v>5.0</v>
      </c>
      <c r="F26" s="36">
        <v>21.0</v>
      </c>
      <c r="G26" s="166" t="s">
        <v>386</v>
      </c>
    </row>
    <row r="27" ht="13.5" customHeight="1">
      <c r="A27" s="9"/>
      <c r="B27" s="44" t="s">
        <v>440</v>
      </c>
      <c r="C27" s="44" t="s">
        <v>427</v>
      </c>
      <c r="D27" s="34" t="s">
        <v>41</v>
      </c>
      <c r="E27" s="36">
        <v>5.0</v>
      </c>
      <c r="F27" s="36">
        <v>21.0</v>
      </c>
      <c r="G27" s="171"/>
    </row>
    <row r="28" ht="13.5" customHeight="1">
      <c r="A28" s="9"/>
      <c r="B28" s="28" t="s">
        <v>441</v>
      </c>
      <c r="C28" s="38" t="s">
        <v>431</v>
      </c>
      <c r="D28" s="36" t="s">
        <v>41</v>
      </c>
      <c r="E28" s="36">
        <v>5.0</v>
      </c>
      <c r="F28" s="36">
        <v>21.0</v>
      </c>
      <c r="G28" s="171"/>
    </row>
    <row r="29" ht="13.5" customHeight="1">
      <c r="A29" s="9"/>
      <c r="B29" s="28" t="s">
        <v>442</v>
      </c>
      <c r="C29" s="38" t="s">
        <v>443</v>
      </c>
      <c r="D29" s="36" t="s">
        <v>41</v>
      </c>
      <c r="E29" s="36">
        <v>5.0</v>
      </c>
      <c r="F29" s="36">
        <v>21.0</v>
      </c>
      <c r="G29" s="171"/>
    </row>
    <row r="30" ht="13.5" customHeight="1">
      <c r="A30" s="9"/>
      <c r="B30" s="45"/>
      <c r="C30" s="45"/>
      <c r="D30" s="45"/>
      <c r="E30" s="45"/>
      <c r="F30" s="45"/>
      <c r="G30" s="171"/>
    </row>
    <row r="31" ht="13.5" customHeight="1">
      <c r="A31" s="9"/>
      <c r="B31" s="175">
        <v>904.0</v>
      </c>
      <c r="C31" s="25"/>
      <c r="D31" s="25"/>
      <c r="E31" s="25"/>
      <c r="F31" s="25"/>
      <c r="G31" s="171"/>
    </row>
    <row r="32" ht="13.5" customHeight="1">
      <c r="A32" s="9"/>
      <c r="B32" s="28" t="s">
        <v>446</v>
      </c>
      <c r="C32" s="38" t="s">
        <v>375</v>
      </c>
      <c r="D32" s="36" t="s">
        <v>41</v>
      </c>
      <c r="E32" s="36">
        <v>5.0</v>
      </c>
      <c r="F32" s="36">
        <v>19.0</v>
      </c>
      <c r="G32" s="166" t="s">
        <v>378</v>
      </c>
    </row>
    <row r="33" ht="13.5" customHeight="1">
      <c r="A33" s="9"/>
      <c r="B33" s="28" t="s">
        <v>447</v>
      </c>
      <c r="C33" s="38" t="s">
        <v>436</v>
      </c>
      <c r="D33" s="36" t="s">
        <v>41</v>
      </c>
      <c r="E33" s="36">
        <v>5.0</v>
      </c>
      <c r="F33" s="36">
        <v>19.0</v>
      </c>
      <c r="G33" s="166" t="s">
        <v>378</v>
      </c>
    </row>
    <row r="34" ht="13.5" customHeight="1">
      <c r="A34" s="9"/>
      <c r="B34" s="28" t="s">
        <v>448</v>
      </c>
      <c r="C34" s="38" t="s">
        <v>427</v>
      </c>
      <c r="D34" s="36" t="s">
        <v>41</v>
      </c>
      <c r="E34" s="36">
        <v>5.0</v>
      </c>
      <c r="F34" s="36">
        <v>19.0</v>
      </c>
      <c r="G34" s="166" t="s">
        <v>437</v>
      </c>
    </row>
    <row r="35" ht="13.5" customHeight="1">
      <c r="A35" s="9"/>
      <c r="B35" s="28" t="s">
        <v>449</v>
      </c>
      <c r="C35" s="38" t="s">
        <v>443</v>
      </c>
      <c r="D35" s="36" t="s">
        <v>41</v>
      </c>
      <c r="E35" s="36">
        <v>5.0</v>
      </c>
      <c r="F35" s="36">
        <v>19.0</v>
      </c>
      <c r="G35" s="171"/>
    </row>
    <row r="36" ht="13.5" customHeight="1">
      <c r="A36" s="9"/>
      <c r="B36" s="28" t="s">
        <v>450</v>
      </c>
      <c r="C36" s="38" t="s">
        <v>407</v>
      </c>
      <c r="D36" s="36" t="s">
        <v>41</v>
      </c>
      <c r="E36" s="36">
        <v>5.0</v>
      </c>
      <c r="F36" s="36">
        <v>19.0</v>
      </c>
      <c r="G36" s="178" t="s">
        <v>429</v>
      </c>
    </row>
    <row r="37" ht="13.5" customHeight="1">
      <c r="A37" s="9"/>
      <c r="B37" s="9"/>
      <c r="C37" s="9"/>
      <c r="D37" s="9"/>
      <c r="E37" s="9"/>
      <c r="F37" s="9"/>
      <c r="G37" s="184"/>
      <c r="H37" s="184"/>
      <c r="I37" s="156"/>
      <c r="J37" s="156"/>
      <c r="K37" s="156"/>
      <c r="L37" s="185"/>
      <c r="M37" s="185"/>
      <c r="N37" s="185"/>
      <c r="O37" s="185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3.5" customHeight="1">
      <c r="A38" s="9"/>
      <c r="B38" s="9"/>
      <c r="C38" s="62"/>
      <c r="D38" s="9"/>
      <c r="E38" s="9"/>
      <c r="F38" s="9"/>
      <c r="G38" s="35"/>
      <c r="H38" s="3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3.5" customHeight="1">
      <c r="A39" s="9"/>
      <c r="B39" s="9"/>
      <c r="C39" s="9"/>
      <c r="D39" s="188"/>
      <c r="E39" s="35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3.5" customHeight="1">
      <c r="A40" s="9"/>
      <c r="B40" s="9"/>
      <c r="C40" s="9"/>
      <c r="D40" s="35"/>
      <c r="E40" s="35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3.5" customHeight="1">
      <c r="A41" s="9"/>
      <c r="B41" s="9"/>
      <c r="C41" s="9"/>
      <c r="D41" s="35"/>
      <c r="E41" s="35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3.5" customHeight="1">
      <c r="A42" s="9"/>
      <c r="B42" s="9"/>
      <c r="C42" s="9"/>
      <c r="D42" s="35"/>
      <c r="E42" s="35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3.5" customHeight="1">
      <c r="A43" s="9"/>
      <c r="B43" s="9"/>
      <c r="C43" s="9"/>
      <c r="D43" s="35"/>
      <c r="E43" s="35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3.5" customHeight="1">
      <c r="A44" s="9"/>
      <c r="B44" s="9"/>
      <c r="C44" s="9"/>
      <c r="D44" s="35"/>
      <c r="E44" s="35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3.5" customHeight="1">
      <c r="A45" s="9"/>
      <c r="B45" s="9"/>
      <c r="C45" s="9"/>
      <c r="D45" s="35"/>
      <c r="E45" s="35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3.5" customHeight="1">
      <c r="A46" s="9"/>
      <c r="B46" s="9"/>
      <c r="C46" s="9"/>
      <c r="D46" s="35"/>
      <c r="E46" s="35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30.0" customHeight="1">
      <c r="A47" s="9"/>
      <c r="B47" s="191"/>
      <c r="C47" s="87" t="s">
        <v>452</v>
      </c>
      <c r="D47" s="13" t="s">
        <v>207</v>
      </c>
      <c r="E47" s="13" t="s">
        <v>208</v>
      </c>
      <c r="F47" s="13" t="s">
        <v>445</v>
      </c>
      <c r="G47" s="13" t="s">
        <v>210</v>
      </c>
      <c r="H47" s="13" t="s">
        <v>211</v>
      </c>
      <c r="I47" s="13" t="s">
        <v>212</v>
      </c>
      <c r="J47" s="13" t="s">
        <v>213</v>
      </c>
      <c r="K47" s="106" t="s">
        <v>214</v>
      </c>
      <c r="L47" s="106" t="s">
        <v>215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3.5" customHeight="1">
      <c r="A48" s="9"/>
      <c r="B48" s="9">
        <v>1.0</v>
      </c>
      <c r="C48" s="38" t="s">
        <v>159</v>
      </c>
      <c r="D48" s="125">
        <f t="shared" ref="D48:D58" si="1">COUNTIF($C$4:$C$43,C48)</f>
        <v>0</v>
      </c>
      <c r="E48" s="36">
        <f>'Asignación-Profesor'!D129-D48</f>
        <v>1</v>
      </c>
      <c r="F48" s="194">
        <f t="shared" ref="F48:F59" si="2">E48+D48</f>
        <v>1</v>
      </c>
      <c r="G48" s="125">
        <f>'Asignación-Profesor'!P129</f>
        <v>0</v>
      </c>
      <c r="H48" s="125">
        <f>'Asignación-Profesor'!Q129</f>
        <v>5</v>
      </c>
      <c r="I48" s="8"/>
      <c r="J48" s="8"/>
      <c r="K48" s="127" t="s">
        <v>454</v>
      </c>
      <c r="L48" s="3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3.5" customHeight="1">
      <c r="A49" s="9"/>
      <c r="B49" s="107">
        <v>2.0</v>
      </c>
      <c r="C49" s="38" t="s">
        <v>427</v>
      </c>
      <c r="D49" s="125">
        <f t="shared" si="1"/>
        <v>3</v>
      </c>
      <c r="E49" s="36">
        <f>'Asignación-Profesor'!D130-D49</f>
        <v>0</v>
      </c>
      <c r="F49" s="194">
        <f t="shared" si="2"/>
        <v>3</v>
      </c>
      <c r="G49" s="125">
        <f>'Asignación-Profesor'!P130</f>
        <v>55</v>
      </c>
      <c r="H49" s="125">
        <f>'Asignación-Profesor'!Q130</f>
        <v>15</v>
      </c>
      <c r="I49" s="8"/>
      <c r="J49" s="8"/>
      <c r="K49" s="127" t="s">
        <v>454</v>
      </c>
      <c r="L49" s="3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3.5" customHeight="1">
      <c r="A50" s="9"/>
      <c r="B50" s="107">
        <v>3.0</v>
      </c>
      <c r="C50" s="38" t="s">
        <v>443</v>
      </c>
      <c r="D50" s="125">
        <f t="shared" si="1"/>
        <v>2</v>
      </c>
      <c r="E50" s="36">
        <f>'Asignación-Profesor'!D131-D50</f>
        <v>1</v>
      </c>
      <c r="F50" s="194">
        <f t="shared" si="2"/>
        <v>3</v>
      </c>
      <c r="G50" s="125">
        <f>'Asignación-Profesor'!P131</f>
        <v>67</v>
      </c>
      <c r="H50" s="125">
        <f>'Asignación-Profesor'!Q131</f>
        <v>15</v>
      </c>
      <c r="I50" s="8"/>
      <c r="J50" s="8"/>
      <c r="K50" s="127" t="s">
        <v>454</v>
      </c>
      <c r="L50" s="3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3.5" customHeight="1">
      <c r="A51" s="9"/>
      <c r="B51" s="107">
        <v>4.0</v>
      </c>
      <c r="C51" s="38" t="s">
        <v>375</v>
      </c>
      <c r="D51" s="125">
        <f t="shared" si="1"/>
        <v>3</v>
      </c>
      <c r="E51" s="36">
        <f>'Asignación-Profesor'!D132-D51</f>
        <v>0</v>
      </c>
      <c r="F51" s="194">
        <f t="shared" si="2"/>
        <v>3</v>
      </c>
      <c r="G51" s="125">
        <f>'Asignación-Profesor'!P132</f>
        <v>62</v>
      </c>
      <c r="H51" s="125">
        <f>'Asignación-Profesor'!Q132</f>
        <v>15</v>
      </c>
      <c r="I51" s="8"/>
      <c r="J51" s="8"/>
      <c r="K51" s="127" t="s">
        <v>239</v>
      </c>
      <c r="L51" s="3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3.5" customHeight="1">
      <c r="A52" s="9"/>
      <c r="B52" s="9">
        <v>5.0</v>
      </c>
      <c r="C52" s="38" t="s">
        <v>407</v>
      </c>
      <c r="D52" s="125">
        <f t="shared" si="1"/>
        <v>2</v>
      </c>
      <c r="E52" s="36">
        <f>'Asignación-Profesor'!D133-D52</f>
        <v>1</v>
      </c>
      <c r="F52" s="194">
        <f t="shared" si="2"/>
        <v>3</v>
      </c>
      <c r="G52" s="125">
        <f>'Asignación-Profesor'!P133</f>
        <v>68</v>
      </c>
      <c r="H52" s="125">
        <f>'Asignación-Profesor'!Q133</f>
        <v>15</v>
      </c>
      <c r="I52" s="8"/>
      <c r="J52" s="8"/>
      <c r="K52" s="127" t="s">
        <v>239</v>
      </c>
      <c r="L52" s="144" t="s">
        <v>459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3.5" customHeight="1">
      <c r="A53" s="9"/>
      <c r="B53" s="107">
        <f t="shared" ref="B53:B55" si="3">B52+1</f>
        <v>6</v>
      </c>
      <c r="C53" s="38" t="s">
        <v>109</v>
      </c>
      <c r="D53" s="125">
        <f t="shared" si="1"/>
        <v>1</v>
      </c>
      <c r="E53" s="36">
        <f>'Asignación-Profesor'!D134-D53</f>
        <v>3</v>
      </c>
      <c r="F53" s="194">
        <f t="shared" si="2"/>
        <v>4</v>
      </c>
      <c r="G53" s="125">
        <f>'Asignación-Profesor'!P134</f>
        <v>68</v>
      </c>
      <c r="H53" s="125">
        <f>'Asignación-Profesor'!Q134</f>
        <v>18</v>
      </c>
      <c r="I53" s="8"/>
      <c r="J53" s="8"/>
      <c r="K53" s="127" t="s">
        <v>454</v>
      </c>
      <c r="L53" s="202" t="s">
        <v>460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3.5" customHeight="1">
      <c r="A54" s="9"/>
      <c r="B54" s="107">
        <f t="shared" si="3"/>
        <v>7</v>
      </c>
      <c r="C54" s="38" t="s">
        <v>388</v>
      </c>
      <c r="D54" s="125">
        <f t="shared" si="1"/>
        <v>2</v>
      </c>
      <c r="E54" s="36">
        <f>'Asignación-Profesor'!D135-D54</f>
        <v>1</v>
      </c>
      <c r="F54" s="194">
        <f t="shared" si="2"/>
        <v>3</v>
      </c>
      <c r="G54" s="125">
        <f>'Asignación-Profesor'!P135</f>
        <v>57</v>
      </c>
      <c r="H54" s="125">
        <f>'Asignación-Profesor'!Q135</f>
        <v>15</v>
      </c>
      <c r="I54" s="8"/>
      <c r="J54" s="8"/>
      <c r="K54" s="127" t="s">
        <v>239</v>
      </c>
      <c r="L54" s="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3.5" customHeight="1">
      <c r="A55" s="9"/>
      <c r="B55" s="107">
        <f t="shared" si="3"/>
        <v>8</v>
      </c>
      <c r="C55" s="38" t="s">
        <v>128</v>
      </c>
      <c r="D55" s="125">
        <f t="shared" si="1"/>
        <v>1</v>
      </c>
      <c r="E55" s="36">
        <f>'Asignación-Profesor'!D136-D55</f>
        <v>3</v>
      </c>
      <c r="F55" s="194">
        <f t="shared" si="2"/>
        <v>4</v>
      </c>
      <c r="G55" s="125">
        <f>'Asignación-Profesor'!P136</f>
        <v>71</v>
      </c>
      <c r="H55" s="125">
        <f>'Asignación-Profesor'!Q136</f>
        <v>17</v>
      </c>
      <c r="I55" s="8"/>
      <c r="J55" s="8"/>
      <c r="K55" s="127" t="s">
        <v>454</v>
      </c>
      <c r="L55" s="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3.5" customHeight="1">
      <c r="A56" s="9"/>
      <c r="B56" s="9">
        <v>9.0</v>
      </c>
      <c r="C56" s="38" t="s">
        <v>436</v>
      </c>
      <c r="D56" s="125">
        <f t="shared" si="1"/>
        <v>2</v>
      </c>
      <c r="E56" s="36">
        <f>'Asignación-Profesor'!D137-D56</f>
        <v>0</v>
      </c>
      <c r="F56" s="194">
        <f t="shared" si="2"/>
        <v>2</v>
      </c>
      <c r="G56" s="125">
        <f>'Asignación-Profesor'!P137</f>
        <v>40</v>
      </c>
      <c r="H56" s="125">
        <f>'Asignación-Profesor'!Q137</f>
        <v>10</v>
      </c>
      <c r="I56" s="203"/>
      <c r="J56" s="203"/>
      <c r="K56" s="127" t="s">
        <v>239</v>
      </c>
      <c r="L56" s="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3.5" customHeight="1">
      <c r="A57" s="9"/>
      <c r="B57" s="107">
        <f t="shared" ref="B57:B61" si="4">B56+1</f>
        <v>10</v>
      </c>
      <c r="C57" s="38" t="s">
        <v>40</v>
      </c>
      <c r="D57" s="125">
        <f t="shared" si="1"/>
        <v>0</v>
      </c>
      <c r="E57" s="36">
        <f>'Asignación-Profesor'!D138-D57</f>
        <v>4</v>
      </c>
      <c r="F57" s="194">
        <f t="shared" si="2"/>
        <v>4</v>
      </c>
      <c r="G57" s="125">
        <f>'Asignación-Profesor'!P138</f>
        <v>70</v>
      </c>
      <c r="H57" s="125">
        <f>'Asignación-Profesor'!Q138</f>
        <v>17</v>
      </c>
      <c r="K57" s="127" t="s">
        <v>239</v>
      </c>
      <c r="L57" s="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3.5" customHeight="1">
      <c r="A58" s="9"/>
      <c r="B58" s="107">
        <f t="shared" si="4"/>
        <v>11</v>
      </c>
      <c r="C58" s="38" t="s">
        <v>140</v>
      </c>
      <c r="D58" s="125">
        <f t="shared" si="1"/>
        <v>0</v>
      </c>
      <c r="E58" s="36">
        <f>'Asignación-Profesor'!D139-D58</f>
        <v>4</v>
      </c>
      <c r="F58" s="194">
        <f t="shared" si="2"/>
        <v>4</v>
      </c>
      <c r="G58" s="125">
        <f>'Asignación-Profesor'!P139</f>
        <v>92</v>
      </c>
      <c r="H58" s="125">
        <f>'Asignación-Profesor'!Q139</f>
        <v>18</v>
      </c>
      <c r="K58" s="127" t="s">
        <v>454</v>
      </c>
      <c r="L58" s="3"/>
      <c r="M58" s="9"/>
      <c r="N58" s="9"/>
      <c r="O58" s="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3.5" customHeight="1">
      <c r="A59" s="7"/>
      <c r="B59" s="107">
        <f t="shared" si="4"/>
        <v>12</v>
      </c>
      <c r="C59" s="38" t="s">
        <v>431</v>
      </c>
      <c r="D59" s="205">
        <v>2.0</v>
      </c>
      <c r="E59" s="36">
        <f>'Asignación-Profesor'!D140-D59</f>
        <v>1</v>
      </c>
      <c r="F59" s="194">
        <f t="shared" si="2"/>
        <v>3</v>
      </c>
      <c r="G59" s="125">
        <f>'Asignación-Profesor'!P140</f>
        <v>43</v>
      </c>
      <c r="H59" s="125">
        <f>'Asignación-Profesor'!Q140</f>
        <v>15</v>
      </c>
      <c r="K59" s="127" t="s">
        <v>239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3.5" customHeight="1">
      <c r="A60" s="7"/>
      <c r="B60" s="107">
        <f t="shared" si="4"/>
        <v>13</v>
      </c>
      <c r="C60" s="206" t="s">
        <v>476</v>
      </c>
      <c r="I60" s="207" t="s">
        <v>347</v>
      </c>
      <c r="J60" s="208" t="s">
        <v>478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3.5" customHeight="1">
      <c r="A61" s="7"/>
      <c r="B61" s="107">
        <f t="shared" si="4"/>
        <v>14</v>
      </c>
      <c r="C61" s="206" t="s">
        <v>482</v>
      </c>
      <c r="I61" s="207" t="s">
        <v>483</v>
      </c>
      <c r="J61" s="210">
        <v>46439.0</v>
      </c>
      <c r="K61" s="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3.5" customHeight="1">
      <c r="C62" s="206"/>
    </row>
    <row r="63" ht="13.5" customHeight="1">
      <c r="C63" s="124"/>
    </row>
    <row r="64" ht="13.5" customHeight="1">
      <c r="C64" s="62"/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F1"/>
  </mergeCells>
  <conditionalFormatting sqref="F48:F59">
    <cfRule type="cellIs" dxfId="0" priority="1" operator="lessThan">
      <formula>3</formula>
    </cfRule>
  </conditionalFormatting>
  <conditionalFormatting sqref="F48:F59">
    <cfRule type="cellIs" dxfId="1" priority="2" operator="equal">
      <formula>3</formula>
    </cfRule>
  </conditionalFormatting>
  <conditionalFormatting sqref="F48:F59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8.0"/>
    <col customWidth="1" min="3" max="3" width="46.14"/>
    <col customWidth="1" min="4" max="4" width="16.57"/>
    <col customWidth="1" min="5" max="6" width="11.14"/>
    <col customWidth="1" min="7" max="7" width="34.14"/>
    <col customWidth="1" min="8" max="8" width="19.86"/>
    <col customWidth="1" min="9" max="9" width="17.29"/>
    <col customWidth="1" min="10" max="10" width="16.71"/>
    <col customWidth="1" min="11" max="11" width="29.14"/>
    <col customWidth="1" min="12" max="12" width="22.0"/>
    <col customWidth="1" min="13" max="13" width="17.86"/>
    <col customWidth="1" min="14" max="14" width="30.0"/>
    <col customWidth="1" min="15" max="15" width="45.43"/>
    <col customWidth="1" min="16" max="26" width="8.57"/>
    <col customWidth="1" min="27" max="27" width="14.43"/>
  </cols>
  <sheetData>
    <row r="1">
      <c r="A1" s="2" t="s">
        <v>1</v>
      </c>
      <c r="B1" s="4"/>
      <c r="C1" s="4"/>
      <c r="D1" s="4"/>
      <c r="E1" s="4"/>
      <c r="F1" s="6"/>
      <c r="G1" s="9"/>
      <c r="I1" s="47"/>
      <c r="J1" s="47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/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9"/>
      <c r="I2" s="47"/>
      <c r="J2" s="12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3.5" customHeight="1">
      <c r="B3" s="204" t="s">
        <v>461</v>
      </c>
      <c r="C3" s="25"/>
      <c r="D3" s="25"/>
      <c r="E3" s="45"/>
      <c r="F3" s="25"/>
    </row>
    <row r="4" ht="13.5" customHeight="1">
      <c r="B4" s="28" t="s">
        <v>462</v>
      </c>
      <c r="C4" s="38" t="s">
        <v>380</v>
      </c>
      <c r="D4" s="36" t="s">
        <v>48</v>
      </c>
      <c r="E4" s="36">
        <v>5.0</v>
      </c>
      <c r="F4" s="34">
        <v>14.0</v>
      </c>
    </row>
    <row r="5" ht="13.5" customHeight="1">
      <c r="B5" s="28" t="s">
        <v>463</v>
      </c>
      <c r="C5" s="52" t="s">
        <v>443</v>
      </c>
      <c r="D5" s="36" t="s">
        <v>41</v>
      </c>
      <c r="E5" s="36">
        <v>5.0</v>
      </c>
      <c r="F5" s="34">
        <v>27.0</v>
      </c>
    </row>
    <row r="6" ht="13.5" customHeight="1">
      <c r="B6" s="28" t="s">
        <v>27</v>
      </c>
      <c r="C6" s="38" t="s">
        <v>71</v>
      </c>
      <c r="D6" s="34" t="s">
        <v>56</v>
      </c>
      <c r="E6" s="36">
        <v>5.0</v>
      </c>
      <c r="F6" s="34">
        <v>27.0</v>
      </c>
      <c r="G6" s="38"/>
    </row>
    <row r="7" ht="13.5" customHeight="1">
      <c r="B7" s="28" t="s">
        <v>464</v>
      </c>
      <c r="C7" s="38" t="s">
        <v>300</v>
      </c>
      <c r="D7" s="36" t="s">
        <v>48</v>
      </c>
      <c r="E7" s="36">
        <v>5.0</v>
      </c>
      <c r="F7" s="34">
        <v>14.0</v>
      </c>
      <c r="G7" s="144" t="s">
        <v>465</v>
      </c>
    </row>
    <row r="8">
      <c r="B8" s="28" t="s">
        <v>466</v>
      </c>
      <c r="C8" s="38" t="s">
        <v>467</v>
      </c>
      <c r="D8" s="36" t="s">
        <v>48</v>
      </c>
      <c r="E8" s="36">
        <v>5.0</v>
      </c>
      <c r="F8" s="34">
        <v>27.0</v>
      </c>
      <c r="G8" s="144" t="s">
        <v>468</v>
      </c>
    </row>
    <row r="9" ht="13.5" customHeight="1">
      <c r="B9" s="45"/>
      <c r="C9" s="45"/>
      <c r="D9" s="45"/>
      <c r="E9" s="45"/>
      <c r="F9" s="45"/>
    </row>
    <row r="10" ht="13.5" customHeight="1">
      <c r="B10" s="204" t="s">
        <v>469</v>
      </c>
      <c r="C10" s="25"/>
      <c r="D10" s="25"/>
      <c r="E10" s="45"/>
      <c r="F10" s="25"/>
    </row>
    <row r="11" ht="13.5" customHeight="1">
      <c r="B11" s="28" t="s">
        <v>462</v>
      </c>
      <c r="C11" s="41" t="s">
        <v>470</v>
      </c>
      <c r="D11" s="36" t="s">
        <v>48</v>
      </c>
      <c r="E11" s="36">
        <v>5.0</v>
      </c>
      <c r="F11" s="34">
        <v>13.0</v>
      </c>
      <c r="G11" s="144" t="s">
        <v>471</v>
      </c>
    </row>
    <row r="12" ht="13.5" customHeight="1">
      <c r="B12" s="28" t="s">
        <v>463</v>
      </c>
      <c r="C12" s="52" t="s">
        <v>472</v>
      </c>
      <c r="D12" s="36" t="s">
        <v>41</v>
      </c>
      <c r="E12" s="36">
        <v>5.0</v>
      </c>
      <c r="F12" s="36"/>
      <c r="G12" s="144" t="s">
        <v>473</v>
      </c>
    </row>
    <row r="13" ht="13.5" customHeight="1">
      <c r="B13" s="28" t="s">
        <v>27</v>
      </c>
      <c r="C13" s="52" t="s">
        <v>474</v>
      </c>
      <c r="D13" s="34" t="s">
        <v>56</v>
      </c>
      <c r="E13" s="36">
        <v>5.0</v>
      </c>
      <c r="F13" s="36"/>
      <c r="G13" s="144" t="s">
        <v>473</v>
      </c>
    </row>
    <row r="14" ht="13.5" customHeight="1">
      <c r="B14" s="28" t="s">
        <v>464</v>
      </c>
      <c r="C14" s="52" t="s">
        <v>475</v>
      </c>
      <c r="D14" s="36" t="s">
        <v>48</v>
      </c>
      <c r="E14" s="36">
        <v>5.0</v>
      </c>
      <c r="F14" s="34">
        <v>13.0</v>
      </c>
      <c r="G14" s="144" t="s">
        <v>473</v>
      </c>
    </row>
    <row r="15" ht="13.5" customHeight="1">
      <c r="B15" s="28" t="s">
        <v>466</v>
      </c>
      <c r="C15" s="52" t="s">
        <v>477</v>
      </c>
      <c r="D15" s="36" t="s">
        <v>48</v>
      </c>
      <c r="E15" s="36">
        <v>5.0</v>
      </c>
      <c r="F15" s="36"/>
      <c r="G15" s="144" t="s">
        <v>473</v>
      </c>
    </row>
    <row r="16" ht="13.5" customHeight="1">
      <c r="B16" s="45"/>
      <c r="C16" s="45"/>
      <c r="D16" s="45"/>
      <c r="E16" s="45"/>
      <c r="F16" s="45"/>
    </row>
    <row r="17" ht="13.5" customHeight="1">
      <c r="B17" s="204" t="s">
        <v>479</v>
      </c>
      <c r="C17" s="25"/>
      <c r="D17" s="25"/>
      <c r="E17" s="45"/>
      <c r="F17" s="25"/>
    </row>
    <row r="18" ht="13.5" customHeight="1">
      <c r="B18" s="28" t="s">
        <v>480</v>
      </c>
      <c r="C18" s="38" t="s">
        <v>481</v>
      </c>
      <c r="D18" s="36" t="s">
        <v>48</v>
      </c>
      <c r="E18" s="36">
        <v>5.0</v>
      </c>
      <c r="F18" s="209">
        <v>24.0</v>
      </c>
    </row>
    <row r="19" ht="13.5" customHeight="1">
      <c r="B19" s="28" t="s">
        <v>484</v>
      </c>
      <c r="C19" s="38" t="s">
        <v>76</v>
      </c>
      <c r="D19" s="36" t="s">
        <v>48</v>
      </c>
      <c r="E19" s="36">
        <v>6.0</v>
      </c>
      <c r="F19" s="209">
        <v>24.0</v>
      </c>
    </row>
    <row r="20" ht="13.5" customHeight="1">
      <c r="B20" s="28" t="s">
        <v>485</v>
      </c>
      <c r="C20" s="38" t="s">
        <v>407</v>
      </c>
      <c r="D20" s="36" t="s">
        <v>41</v>
      </c>
      <c r="E20" s="36">
        <v>5.0</v>
      </c>
      <c r="F20" s="209">
        <v>24.0</v>
      </c>
      <c r="G20" s="144" t="s">
        <v>486</v>
      </c>
    </row>
    <row r="21" ht="13.5" customHeight="1">
      <c r="B21" s="28" t="s">
        <v>487</v>
      </c>
      <c r="C21" s="38" t="s">
        <v>45</v>
      </c>
      <c r="D21" s="36" t="s">
        <v>48</v>
      </c>
      <c r="E21" s="36">
        <v>5.0</v>
      </c>
      <c r="F21" s="209">
        <v>24.0</v>
      </c>
      <c r="H21" s="211" t="s">
        <v>488</v>
      </c>
    </row>
    <row r="22" ht="13.5" customHeight="1">
      <c r="B22" s="28" t="s">
        <v>489</v>
      </c>
      <c r="C22" s="38" t="s">
        <v>467</v>
      </c>
      <c r="D22" s="36" t="s">
        <v>48</v>
      </c>
      <c r="E22" s="36">
        <v>5.0</v>
      </c>
      <c r="F22" s="209">
        <v>24.0</v>
      </c>
    </row>
    <row r="23" ht="13.5" customHeight="1">
      <c r="B23" s="45"/>
      <c r="C23" s="45"/>
      <c r="D23" s="45"/>
      <c r="E23" s="45"/>
      <c r="F23" s="45"/>
    </row>
    <row r="24" ht="13.5" hidden="1" customHeight="1">
      <c r="B24" s="204" t="s">
        <v>490</v>
      </c>
      <c r="C24" s="25"/>
      <c r="D24" s="25"/>
      <c r="E24" s="45"/>
      <c r="F24" s="25"/>
    </row>
    <row r="25" ht="13.5" hidden="1" customHeight="1">
      <c r="B25" s="199" t="s">
        <v>480</v>
      </c>
      <c r="C25" s="105"/>
      <c r="D25" s="212"/>
      <c r="E25" s="213">
        <v>5.0</v>
      </c>
      <c r="F25" s="212">
        <v>28.0</v>
      </c>
    </row>
    <row r="26" ht="13.5" hidden="1" customHeight="1">
      <c r="B26" s="199" t="s">
        <v>484</v>
      </c>
      <c r="C26" s="105"/>
      <c r="D26" s="212"/>
      <c r="E26" s="212">
        <v>6.0</v>
      </c>
      <c r="F26" s="212">
        <v>28.0</v>
      </c>
    </row>
    <row r="27" ht="13.5" hidden="1" customHeight="1">
      <c r="B27" s="199" t="s">
        <v>485</v>
      </c>
      <c r="C27" s="105"/>
      <c r="D27" s="212"/>
      <c r="E27" s="212">
        <v>5.0</v>
      </c>
      <c r="F27" s="212">
        <v>28.0</v>
      </c>
    </row>
    <row r="28" ht="13.5" hidden="1" customHeight="1">
      <c r="B28" s="199" t="s">
        <v>487</v>
      </c>
      <c r="C28" s="105"/>
      <c r="D28" s="212"/>
      <c r="E28" s="212">
        <v>5.0</v>
      </c>
      <c r="F28" s="212">
        <v>28.0</v>
      </c>
    </row>
    <row r="29" ht="13.5" hidden="1" customHeight="1">
      <c r="B29" s="199" t="s">
        <v>489</v>
      </c>
      <c r="C29" s="105"/>
      <c r="D29" s="212"/>
      <c r="E29" s="212">
        <v>5.0</v>
      </c>
      <c r="F29" s="212">
        <v>28.0</v>
      </c>
    </row>
    <row r="30" ht="13.5" hidden="1" customHeight="1">
      <c r="B30" s="45"/>
      <c r="C30" s="45"/>
      <c r="D30" s="45"/>
      <c r="E30" s="45"/>
      <c r="F30" s="45"/>
    </row>
    <row r="31" ht="13.5" customHeight="1">
      <c r="B31" s="204" t="s">
        <v>491</v>
      </c>
      <c r="C31" s="25"/>
      <c r="D31" s="25"/>
      <c r="E31" s="45"/>
      <c r="F31" s="25"/>
    </row>
    <row r="32" ht="13.5" customHeight="1">
      <c r="B32" s="28" t="s">
        <v>492</v>
      </c>
      <c r="C32" s="38" t="s">
        <v>380</v>
      </c>
      <c r="D32" s="36" t="s">
        <v>48</v>
      </c>
      <c r="E32" s="36">
        <v>5.0</v>
      </c>
      <c r="F32" s="209">
        <v>21.0</v>
      </c>
    </row>
    <row r="33" ht="13.5" customHeight="1">
      <c r="B33" s="28" t="s">
        <v>493</v>
      </c>
      <c r="C33" s="38" t="s">
        <v>494</v>
      </c>
      <c r="D33" s="36" t="s">
        <v>48</v>
      </c>
      <c r="E33" s="36">
        <v>5.0</v>
      </c>
      <c r="F33" s="209">
        <v>21.0</v>
      </c>
    </row>
    <row r="34" ht="13.5" customHeight="1">
      <c r="B34" s="28" t="s">
        <v>495</v>
      </c>
      <c r="C34" s="38" t="s">
        <v>481</v>
      </c>
      <c r="D34" s="36" t="s">
        <v>48</v>
      </c>
      <c r="E34" s="36">
        <v>5.0</v>
      </c>
      <c r="F34" s="209">
        <v>21.0</v>
      </c>
      <c r="H34" s="211" t="s">
        <v>488</v>
      </c>
    </row>
    <row r="35" ht="13.5" customHeight="1">
      <c r="B35" s="28" t="s">
        <v>496</v>
      </c>
      <c r="C35" s="38" t="s">
        <v>90</v>
      </c>
      <c r="D35" s="36" t="s">
        <v>48</v>
      </c>
      <c r="E35" s="36">
        <v>5.0</v>
      </c>
      <c r="F35" s="209">
        <v>21.0</v>
      </c>
    </row>
    <row r="36" ht="13.5" customHeight="1">
      <c r="B36" s="28" t="s">
        <v>497</v>
      </c>
      <c r="C36" s="41" t="s">
        <v>470</v>
      </c>
      <c r="D36" s="36" t="s">
        <v>48</v>
      </c>
      <c r="E36" s="36">
        <v>5.0</v>
      </c>
      <c r="F36" s="209">
        <v>21.0</v>
      </c>
    </row>
    <row r="37" ht="13.5" customHeight="1">
      <c r="B37" s="45"/>
      <c r="C37" s="176"/>
      <c r="D37" s="45"/>
      <c r="E37" s="45"/>
      <c r="F37" s="45"/>
    </row>
    <row r="38" ht="13.5" customHeight="1">
      <c r="B38" s="204" t="s">
        <v>498</v>
      </c>
      <c r="C38" s="25"/>
      <c r="D38" s="25"/>
      <c r="E38" s="45"/>
      <c r="F38" s="25"/>
    </row>
    <row r="39" ht="13.5" customHeight="1">
      <c r="B39" s="28" t="s">
        <v>500</v>
      </c>
      <c r="C39" s="38" t="s">
        <v>501</v>
      </c>
      <c r="D39" s="36" t="s">
        <v>48</v>
      </c>
      <c r="E39" s="36">
        <v>5.0</v>
      </c>
      <c r="F39" s="34">
        <v>16.0</v>
      </c>
    </row>
    <row r="40" ht="13.5" customHeight="1">
      <c r="B40" s="28" t="s">
        <v>503</v>
      </c>
      <c r="C40" s="38" t="s">
        <v>79</v>
      </c>
      <c r="D40" s="36" t="s">
        <v>48</v>
      </c>
      <c r="E40" s="36">
        <v>5.0</v>
      </c>
      <c r="F40" s="34">
        <v>16.0</v>
      </c>
    </row>
    <row r="41" ht="13.5" customHeight="1">
      <c r="B41" s="28" t="s">
        <v>504</v>
      </c>
      <c r="C41" s="38" t="s">
        <v>481</v>
      </c>
      <c r="D41" s="36" t="s">
        <v>48</v>
      </c>
      <c r="E41" s="36">
        <v>5.0</v>
      </c>
      <c r="F41" s="34">
        <v>16.0</v>
      </c>
    </row>
    <row r="42" ht="13.5" customHeight="1">
      <c r="B42" s="28" t="s">
        <v>506</v>
      </c>
      <c r="C42" s="38" t="s">
        <v>507</v>
      </c>
      <c r="D42" s="36" t="s">
        <v>48</v>
      </c>
      <c r="E42" s="36">
        <v>5.0</v>
      </c>
      <c r="F42" s="34">
        <v>16.0</v>
      </c>
    </row>
    <row r="43" ht="13.5" customHeight="1">
      <c r="B43" s="28" t="s">
        <v>508</v>
      </c>
      <c r="C43" s="38" t="s">
        <v>467</v>
      </c>
      <c r="D43" s="36" t="s">
        <v>48</v>
      </c>
      <c r="E43" s="36">
        <v>5.0</v>
      </c>
      <c r="F43" s="34">
        <v>16.0</v>
      </c>
    </row>
    <row r="44" ht="13.5" customHeight="1">
      <c r="B44" s="45"/>
      <c r="C44" s="45"/>
      <c r="D44" s="45"/>
      <c r="E44" s="45"/>
      <c r="F44" s="45"/>
    </row>
    <row r="45" ht="13.5" customHeight="1">
      <c r="B45" s="20" t="s">
        <v>512</v>
      </c>
      <c r="C45" s="25"/>
      <c r="D45" s="25"/>
      <c r="E45" s="45"/>
      <c r="F45" s="25"/>
    </row>
    <row r="46" ht="13.5" customHeight="1">
      <c r="B46" s="28" t="s">
        <v>516</v>
      </c>
      <c r="C46" s="38" t="s">
        <v>326</v>
      </c>
      <c r="D46" s="36" t="s">
        <v>56</v>
      </c>
      <c r="E46" s="36">
        <v>5.0</v>
      </c>
      <c r="F46" s="34">
        <v>19.0</v>
      </c>
    </row>
    <row r="47" ht="13.5" customHeight="1">
      <c r="B47" s="28" t="s">
        <v>519</v>
      </c>
      <c r="C47" s="38" t="s">
        <v>494</v>
      </c>
      <c r="D47" s="36" t="s">
        <v>48</v>
      </c>
      <c r="E47" s="36">
        <v>5.0</v>
      </c>
      <c r="F47" s="34">
        <v>19.0</v>
      </c>
    </row>
    <row r="48" ht="13.5" customHeight="1">
      <c r="B48" s="28" t="s">
        <v>523</v>
      </c>
      <c r="C48" s="38" t="s">
        <v>507</v>
      </c>
      <c r="D48" s="36" t="s">
        <v>48</v>
      </c>
      <c r="E48" s="36">
        <v>5.0</v>
      </c>
      <c r="F48" s="34">
        <v>19.0</v>
      </c>
    </row>
    <row r="49" ht="14.25" customHeight="1">
      <c r="B49" s="28" t="s">
        <v>528</v>
      </c>
      <c r="C49" s="41" t="s">
        <v>470</v>
      </c>
      <c r="D49" s="36" t="s">
        <v>48</v>
      </c>
      <c r="E49" s="36">
        <v>5.0</v>
      </c>
      <c r="F49" s="34">
        <v>19.0</v>
      </c>
    </row>
    <row r="50" ht="13.5" customHeight="1">
      <c r="B50" s="28" t="s">
        <v>530</v>
      </c>
      <c r="C50" s="38" t="s">
        <v>45</v>
      </c>
      <c r="D50" s="36" t="s">
        <v>48</v>
      </c>
      <c r="E50" s="36">
        <v>5.0</v>
      </c>
      <c r="F50" s="34">
        <v>19.0</v>
      </c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26.25" customHeight="1">
      <c r="A61" s="9"/>
      <c r="B61" s="3"/>
      <c r="C61" s="3"/>
      <c r="D61" s="3"/>
      <c r="E61" s="3"/>
      <c r="F61" s="3"/>
      <c r="G61" s="3"/>
      <c r="H61" s="3"/>
      <c r="I61" s="114"/>
      <c r="J61" s="114"/>
      <c r="K61" s="8"/>
      <c r="L61" s="8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3.5" customHeight="1">
      <c r="A62" s="9"/>
      <c r="B62" s="8"/>
      <c r="C62" s="8"/>
      <c r="D62" s="8"/>
      <c r="E62" s="8"/>
      <c r="F62" s="8"/>
      <c r="G62" s="8"/>
      <c r="H62" s="8"/>
      <c r="I62" s="114"/>
      <c r="J62" s="114"/>
      <c r="K62" s="89"/>
      <c r="L62" s="8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3.5" customHeight="1">
      <c r="A63" s="9"/>
      <c r="B63" s="89"/>
      <c r="C63" s="8"/>
      <c r="D63" s="8"/>
      <c r="E63" s="8"/>
      <c r="F63" s="8"/>
      <c r="G63" s="8"/>
      <c r="H63" s="8"/>
      <c r="I63" s="220"/>
      <c r="J63" s="222"/>
      <c r="K63" s="89"/>
      <c r="L63" s="8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3.5" customHeight="1">
      <c r="A64" s="9"/>
      <c r="B64" s="15"/>
      <c r="C64" s="224" t="s">
        <v>549</v>
      </c>
      <c r="D64" s="226" t="s">
        <v>207</v>
      </c>
      <c r="E64" s="226" t="s">
        <v>208</v>
      </c>
      <c r="F64" s="226" t="s">
        <v>445</v>
      </c>
      <c r="G64" s="226" t="s">
        <v>210</v>
      </c>
      <c r="H64" s="226" t="s">
        <v>211</v>
      </c>
      <c r="I64" s="227" t="s">
        <v>212</v>
      </c>
      <c r="J64" s="228" t="s">
        <v>213</v>
      </c>
      <c r="K64" s="230" t="s">
        <v>214</v>
      </c>
      <c r="L64" s="231" t="s">
        <v>215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3.5" customHeight="1">
      <c r="A65" s="9"/>
      <c r="B65" s="232">
        <v>1.0</v>
      </c>
      <c r="C65" s="38" t="s">
        <v>501</v>
      </c>
      <c r="D65" s="125">
        <f t="shared" ref="D65:D79" si="1">COUNTIF($C$4:$C$60,C65)</f>
        <v>1</v>
      </c>
      <c r="E65" s="36">
        <f>'Asignación-Profesor'!D146-D65</f>
        <v>0</v>
      </c>
      <c r="F65" s="194">
        <f t="shared" ref="F65:F79" si="2">E65+D65</f>
        <v>1</v>
      </c>
      <c r="G65" s="125">
        <f>'Asignación-Profesor'!P146</f>
        <v>16</v>
      </c>
      <c r="H65" s="125">
        <f>'Asignación-Profesor'!Q146</f>
        <v>5</v>
      </c>
      <c r="I65" s="89"/>
      <c r="J65" s="8"/>
      <c r="K65" s="237" t="s">
        <v>228</v>
      </c>
      <c r="L65" s="202" t="s">
        <v>581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3.5" customHeight="1">
      <c r="A66" s="9"/>
      <c r="B66" s="239">
        <v>2.0</v>
      </c>
      <c r="C66" s="38" t="s">
        <v>481</v>
      </c>
      <c r="D66" s="125">
        <f t="shared" si="1"/>
        <v>3</v>
      </c>
      <c r="E66" s="36">
        <f>'Asignación-Profesor'!D147-D66</f>
        <v>0</v>
      </c>
      <c r="F66" s="194">
        <f t="shared" si="2"/>
        <v>3</v>
      </c>
      <c r="G66" s="125">
        <f>'Asignación-Profesor'!P147</f>
        <v>61</v>
      </c>
      <c r="H66" s="125">
        <f>'Asignación-Profesor'!Q147</f>
        <v>15</v>
      </c>
      <c r="I66" s="89"/>
      <c r="J66" s="146"/>
      <c r="K66" s="93" t="s">
        <v>239</v>
      </c>
      <c r="L66" s="24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3.5" customHeight="1">
      <c r="A67" s="9"/>
      <c r="B67" s="232">
        <v>3.0</v>
      </c>
      <c r="C67" s="38" t="s">
        <v>45</v>
      </c>
      <c r="D67" s="125">
        <f t="shared" si="1"/>
        <v>2</v>
      </c>
      <c r="E67" s="36">
        <f>'Asignación-Profesor'!D148-D67</f>
        <v>1</v>
      </c>
      <c r="F67" s="194">
        <f t="shared" si="2"/>
        <v>3</v>
      </c>
      <c r="G67" s="125">
        <f>'Asignación-Profesor'!P148</f>
        <v>43</v>
      </c>
      <c r="H67" s="125">
        <f>'Asignación-Profesor'!Q148</f>
        <v>15</v>
      </c>
      <c r="I67" s="8"/>
      <c r="J67" s="8"/>
      <c r="K67" s="93" t="s">
        <v>239</v>
      </c>
      <c r="L67" s="3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3.5" customHeight="1">
      <c r="A68" s="9"/>
      <c r="B68" s="239">
        <v>4.0</v>
      </c>
      <c r="C68" s="38" t="s">
        <v>276</v>
      </c>
      <c r="D68" s="125">
        <f t="shared" si="1"/>
        <v>0</v>
      </c>
      <c r="E68" s="36">
        <f>'Asignación-Profesor'!D149-D68</f>
        <v>3</v>
      </c>
      <c r="F68" s="194">
        <f t="shared" si="2"/>
        <v>3</v>
      </c>
      <c r="G68" s="125">
        <f>'Asignación-Profesor'!P149</f>
        <v>96</v>
      </c>
      <c r="H68" s="125">
        <f>'Asignación-Profesor'!Q149</f>
        <v>15</v>
      </c>
      <c r="I68" s="89"/>
      <c r="J68" s="8"/>
      <c r="K68" s="93" t="s">
        <v>239</v>
      </c>
      <c r="L68" s="24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3.5" customHeight="1">
      <c r="A69" s="9"/>
      <c r="B69" s="245">
        <v>-5.0</v>
      </c>
      <c r="C69" s="38" t="s">
        <v>117</v>
      </c>
      <c r="D69" s="125">
        <f t="shared" si="1"/>
        <v>0</v>
      </c>
      <c r="E69" s="36">
        <f>'Asignación-Profesor'!D150-D69</f>
        <v>3</v>
      </c>
      <c r="F69" s="194">
        <f t="shared" si="2"/>
        <v>3</v>
      </c>
      <c r="G69" s="125">
        <f>'Asignación-Profesor'!P150</f>
        <v>0</v>
      </c>
      <c r="H69" s="125">
        <f>'Asignación-Profesor'!Q150</f>
        <v>12</v>
      </c>
      <c r="I69" s="8"/>
      <c r="J69" s="8"/>
      <c r="K69" s="237" t="s">
        <v>228</v>
      </c>
      <c r="L69" s="82" t="s">
        <v>585</v>
      </c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3.5" customHeight="1">
      <c r="A70" s="9"/>
      <c r="B70" s="245" t="s">
        <v>586</v>
      </c>
      <c r="C70" s="38" t="s">
        <v>494</v>
      </c>
      <c r="D70" s="125">
        <f t="shared" si="1"/>
        <v>2</v>
      </c>
      <c r="E70" s="36">
        <f>'Asignación-Profesor'!D151-D70</f>
        <v>0</v>
      </c>
      <c r="F70" s="194">
        <f t="shared" si="2"/>
        <v>2</v>
      </c>
      <c r="G70" s="125">
        <f>'Asignación-Profesor'!P151</f>
        <v>40</v>
      </c>
      <c r="H70" s="125">
        <f>'Asignación-Profesor'!Q151</f>
        <v>10</v>
      </c>
      <c r="I70" s="8"/>
      <c r="J70" s="8"/>
      <c r="K70" s="237" t="s">
        <v>228</v>
      </c>
      <c r="L70" s="82" t="s">
        <v>585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3.5" customHeight="1">
      <c r="A71" s="9"/>
      <c r="B71" s="232">
        <v>7.0</v>
      </c>
      <c r="C71" s="249" t="s">
        <v>467</v>
      </c>
      <c r="D71" s="125">
        <f t="shared" si="1"/>
        <v>3</v>
      </c>
      <c r="E71" s="36">
        <f>'Asignación-Profesor'!D152-D71</f>
        <v>0</v>
      </c>
      <c r="F71" s="194">
        <f t="shared" si="2"/>
        <v>3</v>
      </c>
      <c r="G71" s="125">
        <f>'Asignación-Profesor'!P152</f>
        <v>67</v>
      </c>
      <c r="H71" s="125">
        <f>'Asignación-Profesor'!Q152</f>
        <v>15</v>
      </c>
      <c r="I71" s="89"/>
      <c r="J71" s="8"/>
      <c r="K71" s="93" t="s">
        <v>239</v>
      </c>
      <c r="L71" s="3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3.5" customHeight="1">
      <c r="A72" s="9"/>
      <c r="B72" s="245">
        <v>8.0</v>
      </c>
      <c r="C72" s="38" t="s">
        <v>90</v>
      </c>
      <c r="D72" s="125">
        <f t="shared" si="1"/>
        <v>1</v>
      </c>
      <c r="E72" s="36">
        <f>'Asignación-Profesor'!D153-D72</f>
        <v>2</v>
      </c>
      <c r="F72" s="194">
        <f t="shared" si="2"/>
        <v>3</v>
      </c>
      <c r="G72" s="125">
        <f>'Asignación-Profesor'!P153</f>
        <v>56</v>
      </c>
      <c r="H72" s="125">
        <f>'Asignación-Profesor'!Q153</f>
        <v>14</v>
      </c>
      <c r="I72" s="127"/>
      <c r="J72" s="8"/>
      <c r="K72" s="93" t="s">
        <v>239</v>
      </c>
      <c r="L72" s="3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3.5" customHeight="1">
      <c r="A73" s="9"/>
      <c r="B73" s="245">
        <v>-9.0</v>
      </c>
      <c r="C73" s="38" t="s">
        <v>295</v>
      </c>
      <c r="D73" s="125">
        <f t="shared" si="1"/>
        <v>0</v>
      </c>
      <c r="E73" s="36">
        <f>'Asignación-Profesor'!D154-D73</f>
        <v>3</v>
      </c>
      <c r="F73" s="194">
        <f t="shared" si="2"/>
        <v>3</v>
      </c>
      <c r="G73" s="125">
        <f>'Asignación-Profesor'!P154</f>
        <v>32</v>
      </c>
      <c r="H73" s="125">
        <f>'Asignación-Profesor'!Q154</f>
        <v>13</v>
      </c>
      <c r="I73" s="8"/>
      <c r="J73" s="143"/>
      <c r="K73" s="93" t="s">
        <v>239</v>
      </c>
      <c r="L73" s="82" t="s">
        <v>585</v>
      </c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3.5" customHeight="1">
      <c r="A74" s="9"/>
      <c r="B74" s="239">
        <v>10.0</v>
      </c>
      <c r="C74" s="38" t="s">
        <v>300</v>
      </c>
      <c r="D74" s="125">
        <f t="shared" si="1"/>
        <v>1</v>
      </c>
      <c r="E74" s="36">
        <f>'Asignación-Profesor'!D155-D74</f>
        <v>2</v>
      </c>
      <c r="F74" s="194">
        <f t="shared" si="2"/>
        <v>3</v>
      </c>
      <c r="G74" s="125">
        <f>'Asignación-Profesor'!P155</f>
        <v>83</v>
      </c>
      <c r="H74" s="125">
        <f>'Asignación-Profesor'!Q155</f>
        <v>15</v>
      </c>
      <c r="I74" s="89"/>
      <c r="J74" s="143"/>
      <c r="K74" s="93" t="s">
        <v>239</v>
      </c>
      <c r="L74" s="3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3.5" customHeight="1">
      <c r="A75" s="9"/>
      <c r="B75" s="232">
        <v>11.0</v>
      </c>
      <c r="C75" s="40" t="s">
        <v>76</v>
      </c>
      <c r="D75" s="125">
        <f t="shared" si="1"/>
        <v>1</v>
      </c>
      <c r="E75" s="36">
        <f>'Asignación-Profesor'!D156-D75</f>
        <v>2</v>
      </c>
      <c r="F75" s="194">
        <f t="shared" si="2"/>
        <v>3</v>
      </c>
      <c r="G75" s="125">
        <f>'Asignación-Profesor'!P156</f>
        <v>59</v>
      </c>
      <c r="H75" s="125">
        <f>'Asignación-Profesor'!Q156</f>
        <v>16</v>
      </c>
      <c r="I75" s="89"/>
      <c r="J75" s="143"/>
      <c r="K75" s="93" t="s">
        <v>239</v>
      </c>
      <c r="L75" s="3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3.5" customHeight="1">
      <c r="A76" s="9"/>
      <c r="B76" s="239">
        <v>12.0</v>
      </c>
      <c r="C76" s="40" t="s">
        <v>380</v>
      </c>
      <c r="D76" s="125">
        <f t="shared" si="1"/>
        <v>2</v>
      </c>
      <c r="E76" s="36">
        <f>'Asignación-Profesor'!D157-D76</f>
        <v>1</v>
      </c>
      <c r="F76" s="194">
        <f t="shared" si="2"/>
        <v>3</v>
      </c>
      <c r="G76" s="125">
        <f>'Asignación-Profesor'!P157</f>
        <v>63</v>
      </c>
      <c r="H76" s="125">
        <f>'Asignación-Profesor'!Q157</f>
        <v>15</v>
      </c>
      <c r="I76" s="264"/>
      <c r="J76" s="146"/>
      <c r="K76" s="237" t="s">
        <v>228</v>
      </c>
      <c r="L76" s="3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3.5" customHeight="1">
      <c r="A77" s="9"/>
      <c r="B77" s="245">
        <v>-13.0</v>
      </c>
      <c r="C77" s="38" t="s">
        <v>507</v>
      </c>
      <c r="D77" s="125">
        <f t="shared" si="1"/>
        <v>2</v>
      </c>
      <c r="E77" s="36">
        <f>'Asignación-Profesor'!D158-D77</f>
        <v>1</v>
      </c>
      <c r="F77" s="194">
        <f t="shared" si="2"/>
        <v>3</v>
      </c>
      <c r="G77" s="125">
        <f>'Asignación-Profesor'!P158</f>
        <v>35</v>
      </c>
      <c r="H77" s="125">
        <f>'Asignación-Profesor'!Q158</f>
        <v>14</v>
      </c>
      <c r="I77" s="8"/>
      <c r="J77" s="146"/>
      <c r="K77" s="237" t="s">
        <v>228</v>
      </c>
      <c r="L77" s="82" t="s">
        <v>585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/>
      <c r="B78" s="239">
        <v>14.0</v>
      </c>
      <c r="C78" s="38" t="s">
        <v>79</v>
      </c>
      <c r="D78" s="125">
        <f t="shared" si="1"/>
        <v>1</v>
      </c>
      <c r="E78" s="36">
        <f>'Asignación-Profesor'!D159-D78</f>
        <v>2</v>
      </c>
      <c r="F78" s="194">
        <f t="shared" si="2"/>
        <v>3</v>
      </c>
      <c r="G78" s="125">
        <f>'Asignación-Profesor'!P159</f>
        <v>16</v>
      </c>
      <c r="H78" s="125">
        <f>'Asignación-Profesor'!Q159</f>
        <v>13</v>
      </c>
      <c r="I78" s="8"/>
      <c r="J78" s="146"/>
      <c r="K78" s="93" t="s">
        <v>239</v>
      </c>
      <c r="L78" s="24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3.5" customHeight="1">
      <c r="A79" s="9"/>
      <c r="B79" s="232">
        <v>15.0</v>
      </c>
      <c r="C79" s="267" t="s">
        <v>470</v>
      </c>
      <c r="D79" s="125">
        <f t="shared" si="1"/>
        <v>3</v>
      </c>
      <c r="E79" s="36">
        <f>'Asignación-Profesor'!D160-D79</f>
        <v>0</v>
      </c>
      <c r="F79" s="194">
        <f t="shared" si="2"/>
        <v>3</v>
      </c>
      <c r="G79" s="125">
        <f>'Asignación-Profesor'!P160</f>
        <v>53</v>
      </c>
      <c r="H79" s="125">
        <f>'Asignación-Profesor'!Q160</f>
        <v>15</v>
      </c>
      <c r="I79" s="8"/>
      <c r="J79" s="143"/>
      <c r="K79" s="237" t="s">
        <v>228</v>
      </c>
      <c r="L79" s="3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3.5" customHeight="1">
      <c r="A80" s="9"/>
      <c r="B80" s="239">
        <v>16.0</v>
      </c>
      <c r="C80" s="145" t="s">
        <v>617</v>
      </c>
      <c r="D80" s="8"/>
      <c r="E80" s="8"/>
      <c r="F80" s="8"/>
      <c r="G80" s="8"/>
      <c r="H80" s="8"/>
      <c r="I80" s="268" t="s">
        <v>347</v>
      </c>
      <c r="J80" s="146"/>
      <c r="K80" s="269"/>
      <c r="L80" s="3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3.5" customHeight="1">
      <c r="A81" s="9"/>
      <c r="B81" s="232">
        <v>17.0</v>
      </c>
      <c r="C81" s="123" t="s">
        <v>618</v>
      </c>
      <c r="D81" s="8"/>
      <c r="E81" s="8"/>
      <c r="F81" s="8"/>
      <c r="G81" s="8"/>
      <c r="H81" s="8"/>
      <c r="I81" s="270" t="s">
        <v>347</v>
      </c>
      <c r="L81" s="269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3.5" customHeight="1">
      <c r="A82" s="9"/>
      <c r="B82" s="239">
        <v>18.0</v>
      </c>
      <c r="C82" s="123" t="s">
        <v>619</v>
      </c>
      <c r="D82" s="8"/>
      <c r="E82" s="8"/>
      <c r="F82" s="8"/>
      <c r="G82" s="8"/>
      <c r="H82" s="8"/>
      <c r="I82" s="270" t="s">
        <v>345</v>
      </c>
      <c r="J82" s="271"/>
      <c r="K82" s="269"/>
      <c r="L82" s="269"/>
      <c r="M82" s="45"/>
    </row>
    <row r="83" ht="13.5" customHeight="1">
      <c r="B83" s="272">
        <v>19.0</v>
      </c>
      <c r="C83" s="123" t="s">
        <v>620</v>
      </c>
      <c r="D83" s="125"/>
      <c r="E83" s="36"/>
      <c r="F83" s="194"/>
      <c r="G83" s="125"/>
      <c r="H83" s="125"/>
      <c r="I83" s="270" t="s">
        <v>345</v>
      </c>
      <c r="J83" s="271"/>
      <c r="K83" s="269"/>
      <c r="L83" s="269"/>
      <c r="M83" s="45"/>
    </row>
    <row r="84" ht="13.5" customHeight="1">
      <c r="B84" s="239">
        <v>20.0</v>
      </c>
      <c r="C84" s="148" t="s">
        <v>621</v>
      </c>
      <c r="D84" s="8"/>
      <c r="E84" s="8"/>
      <c r="F84" s="8"/>
      <c r="G84" s="8"/>
      <c r="H84" s="8"/>
      <c r="I84" s="273" t="s">
        <v>622</v>
      </c>
      <c r="J84" s="171"/>
      <c r="M84" s="45"/>
    </row>
    <row r="85" ht="13.5" customHeight="1">
      <c r="J85" s="271"/>
      <c r="K85" s="269"/>
    </row>
    <row r="86" ht="13.5" customHeight="1">
      <c r="J86" s="93"/>
    </row>
    <row r="87" ht="13.5" customHeight="1">
      <c r="I87" s="171"/>
      <c r="J87" s="93"/>
    </row>
    <row r="88" ht="13.5" customHeight="1">
      <c r="C88" s="274"/>
      <c r="D88" s="35"/>
      <c r="E88" s="92"/>
      <c r="G88" s="9"/>
      <c r="H88" s="9"/>
      <c r="I88" s="275"/>
      <c r="J88" s="276"/>
      <c r="K88" s="82"/>
      <c r="L88" s="9"/>
    </row>
    <row r="89" ht="13.5" customHeight="1">
      <c r="I89" s="171"/>
      <c r="J89" s="171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3.5" customHeight="1">
      <c r="A90" s="9"/>
      <c r="B90" s="240"/>
      <c r="I90" s="171"/>
      <c r="J90" s="171"/>
    </row>
    <row r="91" ht="13.5" customHeight="1">
      <c r="I91" s="171"/>
      <c r="J91" s="171"/>
    </row>
    <row r="92" ht="13.5" customHeight="1">
      <c r="I92" s="171"/>
      <c r="J92" s="171"/>
    </row>
    <row r="93" ht="13.5" customHeight="1">
      <c r="I93" s="171"/>
      <c r="J93" s="171"/>
    </row>
    <row r="94" ht="13.5" customHeight="1">
      <c r="I94" s="171"/>
      <c r="J94" s="171"/>
    </row>
    <row r="95" ht="13.5" customHeight="1">
      <c r="I95" s="171"/>
      <c r="J95" s="171"/>
    </row>
    <row r="96" ht="13.5" customHeight="1">
      <c r="I96" s="171"/>
      <c r="J96" s="171"/>
    </row>
    <row r="97" ht="13.5" customHeight="1">
      <c r="I97" s="171"/>
      <c r="J97" s="171"/>
    </row>
    <row r="98" ht="13.5" customHeight="1">
      <c r="I98" s="171"/>
      <c r="J98" s="171"/>
    </row>
    <row r="99" ht="13.5" customHeight="1">
      <c r="I99" s="171"/>
      <c r="J99" s="171"/>
    </row>
    <row r="100" ht="13.5" customHeight="1">
      <c r="I100" s="171"/>
      <c r="J100" s="171"/>
    </row>
    <row r="101" ht="13.5" customHeight="1">
      <c r="I101" s="171"/>
      <c r="J101" s="171"/>
    </row>
    <row r="102" ht="13.5" customHeight="1">
      <c r="I102" s="171"/>
      <c r="J102" s="171"/>
    </row>
    <row r="103" ht="13.5" customHeight="1">
      <c r="I103" s="171"/>
      <c r="J103" s="171"/>
    </row>
    <row r="104" ht="13.5" customHeight="1">
      <c r="I104" s="171"/>
      <c r="J104" s="171"/>
    </row>
    <row r="105" ht="13.5" customHeight="1">
      <c r="I105" s="171"/>
      <c r="J105" s="171"/>
    </row>
    <row r="106" ht="13.5" customHeight="1">
      <c r="I106" s="171"/>
      <c r="J106" s="171"/>
    </row>
    <row r="107" ht="13.5" customHeight="1">
      <c r="I107" s="171"/>
      <c r="J107" s="171"/>
    </row>
    <row r="108" ht="13.5" customHeight="1">
      <c r="I108" s="171"/>
      <c r="J108" s="171"/>
    </row>
    <row r="109" ht="13.5" customHeight="1">
      <c r="I109" s="171"/>
      <c r="J109" s="171"/>
    </row>
    <row r="110" ht="13.5" customHeight="1">
      <c r="I110" s="171"/>
      <c r="J110" s="171"/>
    </row>
    <row r="111" ht="13.5" customHeight="1">
      <c r="I111" s="171"/>
      <c r="J111" s="171"/>
    </row>
    <row r="112" ht="13.5" customHeight="1">
      <c r="I112" s="171"/>
      <c r="J112" s="171"/>
    </row>
    <row r="113" ht="13.5" customHeight="1">
      <c r="I113" s="171"/>
      <c r="J113" s="171"/>
    </row>
    <row r="114" ht="13.5" customHeight="1">
      <c r="I114" s="171"/>
      <c r="J114" s="171"/>
    </row>
    <row r="115" ht="13.5" customHeight="1">
      <c r="I115" s="171"/>
      <c r="J115" s="171"/>
    </row>
    <row r="116" ht="13.5" customHeight="1">
      <c r="I116" s="171"/>
      <c r="J116" s="171"/>
    </row>
    <row r="117" ht="13.5" customHeight="1">
      <c r="I117" s="171"/>
      <c r="J117" s="171"/>
    </row>
    <row r="118" ht="13.5" customHeight="1">
      <c r="I118" s="171"/>
      <c r="J118" s="171"/>
    </row>
    <row r="119" ht="13.5" customHeight="1">
      <c r="I119" s="171"/>
      <c r="J119" s="171"/>
    </row>
    <row r="120" ht="13.5" customHeight="1">
      <c r="I120" s="171"/>
      <c r="J120" s="171"/>
    </row>
    <row r="121" ht="13.5" customHeight="1">
      <c r="I121" s="171"/>
      <c r="J121" s="171"/>
    </row>
    <row r="122" ht="13.5" customHeight="1">
      <c r="I122" s="171"/>
      <c r="J122" s="171"/>
    </row>
    <row r="123" ht="13.5" customHeight="1">
      <c r="I123" s="171"/>
      <c r="J123" s="171"/>
    </row>
    <row r="124" ht="13.5" customHeight="1">
      <c r="I124" s="171"/>
      <c r="J124" s="171"/>
    </row>
    <row r="125" ht="13.5" customHeight="1">
      <c r="I125" s="171"/>
      <c r="J125" s="171"/>
    </row>
    <row r="126" ht="13.5" customHeight="1">
      <c r="I126" s="171"/>
      <c r="J126" s="171"/>
    </row>
    <row r="127" ht="13.5" customHeight="1">
      <c r="I127" s="171"/>
      <c r="J127" s="171"/>
    </row>
    <row r="128" ht="13.5" customHeight="1">
      <c r="I128" s="171"/>
      <c r="J128" s="171"/>
    </row>
    <row r="129" ht="13.5" customHeight="1">
      <c r="I129" s="171"/>
      <c r="J129" s="171"/>
    </row>
    <row r="130" ht="13.5" customHeight="1">
      <c r="I130" s="171"/>
      <c r="J130" s="171"/>
    </row>
    <row r="131" ht="13.5" customHeight="1">
      <c r="I131" s="171"/>
      <c r="J131" s="171"/>
    </row>
    <row r="132" ht="13.5" customHeight="1">
      <c r="I132" s="171"/>
      <c r="J132" s="171"/>
    </row>
    <row r="133" ht="13.5" customHeight="1">
      <c r="I133" s="171"/>
      <c r="J133" s="171"/>
    </row>
    <row r="134" ht="13.5" customHeight="1">
      <c r="I134" s="171"/>
      <c r="J134" s="171"/>
    </row>
    <row r="135" ht="13.5" customHeight="1">
      <c r="I135" s="171"/>
      <c r="J135" s="171"/>
    </row>
    <row r="136" ht="13.5" customHeight="1">
      <c r="I136" s="171"/>
      <c r="J136" s="171"/>
    </row>
    <row r="137" ht="13.5" customHeight="1">
      <c r="I137" s="171"/>
      <c r="J137" s="171"/>
    </row>
    <row r="138" ht="13.5" customHeight="1">
      <c r="I138" s="171"/>
      <c r="J138" s="171"/>
    </row>
    <row r="139" ht="13.5" customHeight="1">
      <c r="I139" s="171"/>
      <c r="J139" s="171"/>
    </row>
    <row r="140" ht="13.5" customHeight="1">
      <c r="I140" s="171"/>
      <c r="J140" s="171"/>
    </row>
    <row r="141" ht="13.5" customHeight="1">
      <c r="I141" s="171"/>
      <c r="J141" s="171"/>
    </row>
    <row r="142" ht="13.5" customHeight="1">
      <c r="I142" s="171"/>
      <c r="J142" s="171"/>
    </row>
    <row r="143" ht="13.5" customHeight="1">
      <c r="I143" s="171"/>
      <c r="J143" s="171"/>
    </row>
    <row r="144" ht="13.5" customHeight="1">
      <c r="I144" s="171"/>
      <c r="J144" s="171"/>
    </row>
    <row r="145" ht="13.5" customHeight="1">
      <c r="I145" s="171"/>
      <c r="J145" s="171"/>
    </row>
    <row r="146" ht="13.5" customHeight="1">
      <c r="I146" s="171"/>
      <c r="J146" s="171"/>
    </row>
    <row r="147" ht="13.5" customHeight="1">
      <c r="I147" s="171"/>
      <c r="J147" s="171"/>
    </row>
    <row r="148" ht="13.5" customHeight="1">
      <c r="I148" s="171"/>
      <c r="J148" s="171"/>
    </row>
    <row r="149" ht="13.5" customHeight="1">
      <c r="I149" s="171"/>
      <c r="J149" s="171"/>
    </row>
    <row r="150" ht="13.5" customHeight="1">
      <c r="I150" s="171"/>
      <c r="J150" s="171"/>
    </row>
    <row r="151" ht="13.5" customHeight="1">
      <c r="I151" s="171"/>
      <c r="J151" s="171"/>
    </row>
    <row r="152" ht="13.5" customHeight="1">
      <c r="I152" s="171"/>
      <c r="J152" s="171"/>
    </row>
    <row r="153" ht="13.5" customHeight="1">
      <c r="I153" s="171"/>
      <c r="J153" s="171"/>
    </row>
    <row r="154" ht="13.5" customHeight="1">
      <c r="I154" s="171"/>
      <c r="J154" s="171"/>
    </row>
    <row r="155" ht="13.5" customHeight="1">
      <c r="I155" s="171"/>
      <c r="J155" s="171"/>
    </row>
    <row r="156" ht="13.5" customHeight="1">
      <c r="I156" s="171"/>
      <c r="J156" s="171"/>
    </row>
    <row r="157" ht="13.5" customHeight="1">
      <c r="I157" s="171"/>
      <c r="J157" s="171"/>
    </row>
    <row r="158" ht="13.5" customHeight="1">
      <c r="I158" s="171"/>
      <c r="J158" s="171"/>
    </row>
    <row r="159" ht="13.5" customHeight="1">
      <c r="I159" s="171"/>
      <c r="J159" s="171"/>
    </row>
    <row r="160" ht="13.5" customHeight="1">
      <c r="I160" s="171"/>
      <c r="J160" s="171"/>
    </row>
    <row r="161" ht="13.5" customHeight="1">
      <c r="I161" s="171"/>
      <c r="J161" s="171"/>
    </row>
    <row r="162" ht="13.5" customHeight="1">
      <c r="I162" s="171"/>
      <c r="J162" s="171"/>
    </row>
    <row r="163" ht="13.5" customHeight="1">
      <c r="I163" s="171"/>
      <c r="J163" s="171"/>
    </row>
    <row r="164" ht="13.5" customHeight="1">
      <c r="I164" s="171"/>
      <c r="J164" s="171"/>
    </row>
    <row r="165" ht="13.5" customHeight="1">
      <c r="I165" s="171"/>
      <c r="J165" s="171"/>
    </row>
    <row r="166" ht="13.5" customHeight="1">
      <c r="I166" s="171"/>
      <c r="J166" s="171"/>
    </row>
    <row r="167" ht="13.5" customHeight="1">
      <c r="I167" s="171"/>
      <c r="J167" s="171"/>
    </row>
    <row r="168" ht="13.5" customHeight="1">
      <c r="I168" s="171"/>
      <c r="J168" s="171"/>
    </row>
    <row r="169" ht="13.5" customHeight="1">
      <c r="I169" s="171"/>
      <c r="J169" s="171"/>
    </row>
    <row r="170" ht="13.5" customHeight="1">
      <c r="I170" s="171"/>
      <c r="J170" s="171"/>
    </row>
    <row r="171" ht="13.5" customHeight="1">
      <c r="I171" s="171"/>
      <c r="J171" s="171"/>
    </row>
    <row r="172" ht="13.5" customHeight="1">
      <c r="I172" s="171"/>
      <c r="J172" s="171"/>
    </row>
    <row r="173" ht="13.5" customHeight="1">
      <c r="I173" s="171"/>
      <c r="J173" s="171"/>
    </row>
    <row r="174" ht="13.5" customHeight="1">
      <c r="I174" s="171"/>
      <c r="J174" s="171"/>
    </row>
    <row r="175" ht="13.5" customHeight="1">
      <c r="I175" s="171"/>
      <c r="J175" s="171"/>
    </row>
    <row r="176" ht="13.5" customHeight="1">
      <c r="I176" s="171"/>
      <c r="J176" s="171"/>
    </row>
    <row r="177" ht="13.5" customHeight="1">
      <c r="I177" s="171"/>
      <c r="J177" s="171"/>
    </row>
    <row r="178" ht="13.5" customHeight="1">
      <c r="I178" s="171"/>
      <c r="J178" s="171"/>
    </row>
    <row r="179" ht="13.5" customHeight="1">
      <c r="I179" s="171"/>
      <c r="J179" s="171"/>
    </row>
    <row r="180" ht="13.5" customHeight="1">
      <c r="I180" s="171"/>
      <c r="J180" s="171"/>
    </row>
    <row r="181" ht="13.5" customHeight="1">
      <c r="I181" s="171"/>
      <c r="J181" s="171"/>
    </row>
    <row r="182" ht="13.5" customHeight="1">
      <c r="I182" s="171"/>
      <c r="J182" s="171"/>
    </row>
    <row r="183" ht="13.5" customHeight="1">
      <c r="I183" s="171"/>
      <c r="J183" s="171"/>
    </row>
    <row r="184" ht="13.5" customHeight="1">
      <c r="I184" s="171"/>
      <c r="J184" s="171"/>
    </row>
    <row r="185" ht="13.5" customHeight="1">
      <c r="I185" s="171"/>
      <c r="J185" s="171"/>
    </row>
    <row r="186" ht="13.5" customHeight="1">
      <c r="I186" s="171"/>
      <c r="J186" s="171"/>
    </row>
    <row r="187" ht="13.5" customHeight="1">
      <c r="I187" s="171"/>
      <c r="J187" s="171"/>
    </row>
    <row r="188" ht="13.5" customHeight="1">
      <c r="I188" s="171"/>
      <c r="J188" s="171"/>
    </row>
    <row r="189" ht="13.5" customHeight="1">
      <c r="I189" s="171"/>
      <c r="J189" s="171"/>
    </row>
    <row r="190" ht="13.5" customHeight="1">
      <c r="I190" s="171"/>
      <c r="J190" s="171"/>
    </row>
    <row r="191" ht="13.5" customHeight="1">
      <c r="I191" s="171"/>
      <c r="J191" s="171"/>
    </row>
    <row r="192" ht="13.5" customHeight="1">
      <c r="I192" s="171"/>
      <c r="J192" s="171"/>
    </row>
    <row r="193" ht="13.5" customHeight="1">
      <c r="I193" s="171"/>
      <c r="J193" s="171"/>
    </row>
    <row r="194" ht="13.5" customHeight="1">
      <c r="I194" s="171"/>
      <c r="J194" s="171"/>
    </row>
    <row r="195" ht="13.5" customHeight="1">
      <c r="I195" s="171"/>
      <c r="J195" s="171"/>
    </row>
    <row r="196" ht="13.5" customHeight="1">
      <c r="I196" s="171"/>
      <c r="J196" s="171"/>
    </row>
    <row r="197" ht="13.5" customHeight="1">
      <c r="I197" s="171"/>
      <c r="J197" s="171"/>
    </row>
    <row r="198" ht="13.5" customHeight="1">
      <c r="I198" s="171"/>
      <c r="J198" s="171"/>
    </row>
    <row r="199" ht="13.5" customHeight="1">
      <c r="I199" s="171"/>
      <c r="J199" s="171"/>
    </row>
    <row r="200" ht="13.5" customHeight="1">
      <c r="I200" s="171"/>
      <c r="J200" s="171"/>
    </row>
    <row r="201" ht="13.5" customHeight="1">
      <c r="I201" s="171"/>
      <c r="J201" s="171"/>
    </row>
    <row r="202" ht="13.5" customHeight="1">
      <c r="I202" s="171"/>
      <c r="J202" s="171"/>
    </row>
    <row r="203" ht="13.5" customHeight="1">
      <c r="I203" s="171"/>
      <c r="J203" s="171"/>
    </row>
    <row r="204" ht="13.5" customHeight="1">
      <c r="I204" s="171"/>
      <c r="J204" s="171"/>
    </row>
    <row r="205" ht="13.5" customHeight="1">
      <c r="I205" s="171"/>
      <c r="J205" s="171"/>
    </row>
    <row r="206" ht="13.5" customHeight="1">
      <c r="I206" s="171"/>
      <c r="J206" s="171"/>
    </row>
    <row r="207" ht="13.5" customHeight="1">
      <c r="I207" s="171"/>
      <c r="J207" s="171"/>
    </row>
    <row r="208" ht="13.5" customHeight="1">
      <c r="I208" s="171"/>
      <c r="J208" s="171"/>
    </row>
    <row r="209" ht="13.5" customHeight="1">
      <c r="I209" s="171"/>
      <c r="J209" s="171"/>
    </row>
    <row r="210" ht="13.5" customHeight="1">
      <c r="I210" s="171"/>
      <c r="J210" s="171"/>
    </row>
    <row r="211" ht="13.5" customHeight="1">
      <c r="I211" s="171"/>
      <c r="J211" s="171"/>
    </row>
    <row r="212" ht="13.5" customHeight="1">
      <c r="I212" s="171"/>
      <c r="J212" s="171"/>
    </row>
    <row r="213" ht="13.5" customHeight="1">
      <c r="I213" s="171"/>
      <c r="J213" s="171"/>
    </row>
    <row r="214" ht="13.5" customHeight="1">
      <c r="I214" s="171"/>
      <c r="J214" s="171"/>
    </row>
    <row r="215" ht="13.5" customHeight="1">
      <c r="I215" s="171"/>
      <c r="J215" s="171"/>
    </row>
    <row r="216" ht="13.5" customHeight="1">
      <c r="I216" s="171"/>
      <c r="J216" s="171"/>
    </row>
    <row r="217" ht="13.5" customHeight="1">
      <c r="I217" s="171"/>
      <c r="J217" s="171"/>
    </row>
    <row r="218" ht="13.5" customHeight="1">
      <c r="I218" s="171"/>
      <c r="J218" s="171"/>
    </row>
    <row r="219" ht="13.5" customHeight="1">
      <c r="I219" s="171"/>
      <c r="J219" s="171"/>
    </row>
    <row r="220" ht="13.5" customHeight="1">
      <c r="I220" s="171"/>
      <c r="J220" s="171"/>
    </row>
    <row r="221" ht="13.5" customHeight="1">
      <c r="I221" s="171"/>
      <c r="J221" s="171"/>
    </row>
    <row r="222" ht="13.5" customHeight="1">
      <c r="I222" s="171"/>
      <c r="J222" s="171"/>
    </row>
    <row r="223" ht="13.5" customHeight="1">
      <c r="I223" s="171"/>
      <c r="J223" s="171"/>
    </row>
    <row r="224" ht="13.5" customHeight="1">
      <c r="I224" s="171"/>
      <c r="J224" s="171"/>
    </row>
    <row r="225" ht="13.5" customHeight="1">
      <c r="I225" s="171"/>
      <c r="J225" s="171"/>
    </row>
    <row r="226" ht="13.5" customHeight="1">
      <c r="I226" s="171"/>
      <c r="J226" s="171"/>
    </row>
    <row r="227" ht="13.5" customHeight="1">
      <c r="I227" s="171"/>
      <c r="J227" s="171"/>
    </row>
    <row r="228" ht="13.5" customHeight="1">
      <c r="I228" s="171"/>
      <c r="J228" s="171"/>
    </row>
    <row r="229" ht="13.5" customHeight="1">
      <c r="I229" s="171"/>
      <c r="J229" s="171"/>
    </row>
    <row r="230" ht="13.5" customHeight="1">
      <c r="I230" s="171"/>
      <c r="J230" s="171"/>
    </row>
    <row r="231" ht="13.5" customHeight="1">
      <c r="I231" s="171"/>
      <c r="J231" s="171"/>
    </row>
    <row r="232" ht="13.5" customHeight="1">
      <c r="I232" s="171"/>
      <c r="J232" s="171"/>
    </row>
    <row r="233" ht="13.5" customHeight="1">
      <c r="I233" s="171"/>
      <c r="J233" s="171"/>
    </row>
    <row r="234" ht="13.5" customHeight="1">
      <c r="I234" s="171"/>
      <c r="J234" s="171"/>
    </row>
    <row r="235" ht="13.5" customHeight="1">
      <c r="I235" s="171"/>
      <c r="J235" s="171"/>
    </row>
    <row r="236" ht="13.5" customHeight="1">
      <c r="I236" s="171"/>
      <c r="J236" s="171"/>
    </row>
    <row r="237" ht="13.5" customHeight="1">
      <c r="I237" s="171"/>
      <c r="J237" s="171"/>
    </row>
    <row r="238" ht="13.5" customHeight="1">
      <c r="I238" s="171"/>
      <c r="J238" s="171"/>
    </row>
    <row r="239" ht="13.5" customHeight="1">
      <c r="I239" s="171"/>
      <c r="J239" s="171"/>
    </row>
    <row r="240" ht="13.5" customHeight="1">
      <c r="I240" s="171"/>
      <c r="J240" s="171"/>
    </row>
    <row r="241" ht="13.5" customHeight="1">
      <c r="I241" s="171"/>
      <c r="J241" s="171"/>
    </row>
    <row r="242" ht="13.5" customHeight="1">
      <c r="I242" s="171"/>
      <c r="J242" s="171"/>
    </row>
    <row r="243" ht="13.5" customHeight="1">
      <c r="I243" s="171"/>
      <c r="J243" s="171"/>
    </row>
    <row r="244" ht="13.5" customHeight="1">
      <c r="I244" s="171"/>
      <c r="J244" s="171"/>
    </row>
    <row r="245" ht="13.5" customHeight="1">
      <c r="I245" s="171"/>
      <c r="J245" s="171"/>
    </row>
    <row r="246" ht="13.5" customHeight="1">
      <c r="I246" s="171"/>
      <c r="J246" s="171"/>
    </row>
    <row r="247" ht="13.5" customHeight="1">
      <c r="I247" s="171"/>
      <c r="J247" s="171"/>
    </row>
    <row r="248" ht="13.5" customHeight="1">
      <c r="I248" s="171"/>
      <c r="J248" s="171"/>
    </row>
    <row r="249" ht="13.5" customHeight="1">
      <c r="I249" s="171"/>
      <c r="J249" s="171"/>
    </row>
    <row r="250" ht="13.5" customHeight="1">
      <c r="I250" s="171"/>
      <c r="J250" s="171"/>
    </row>
    <row r="251" ht="13.5" customHeight="1">
      <c r="I251" s="171"/>
      <c r="J251" s="171"/>
    </row>
    <row r="252" ht="13.5" customHeight="1">
      <c r="I252" s="171"/>
      <c r="J252" s="171"/>
    </row>
    <row r="253" ht="13.5" customHeight="1">
      <c r="I253" s="171"/>
      <c r="J253" s="171"/>
    </row>
    <row r="254" ht="13.5" customHeight="1">
      <c r="I254" s="171"/>
      <c r="J254" s="171"/>
    </row>
    <row r="255" ht="13.5" customHeight="1">
      <c r="I255" s="171"/>
      <c r="J255" s="171"/>
    </row>
    <row r="256" ht="13.5" customHeight="1">
      <c r="I256" s="171"/>
      <c r="J256" s="171"/>
    </row>
    <row r="257" ht="13.5" customHeight="1">
      <c r="I257" s="171"/>
      <c r="J257" s="171"/>
    </row>
    <row r="258" ht="13.5" customHeight="1">
      <c r="I258" s="171"/>
      <c r="J258" s="171"/>
    </row>
    <row r="259" ht="13.5" customHeight="1">
      <c r="I259" s="171"/>
      <c r="J259" s="171"/>
    </row>
    <row r="260" ht="13.5" customHeight="1">
      <c r="I260" s="171"/>
      <c r="J260" s="171"/>
    </row>
    <row r="261" ht="13.5" customHeight="1">
      <c r="I261" s="171"/>
      <c r="J261" s="171"/>
    </row>
    <row r="262" ht="13.5" customHeight="1">
      <c r="I262" s="171"/>
      <c r="J262" s="171"/>
    </row>
    <row r="263" ht="13.5" customHeight="1">
      <c r="I263" s="171"/>
      <c r="J263" s="171"/>
    </row>
    <row r="264" ht="13.5" customHeight="1">
      <c r="I264" s="171"/>
      <c r="J264" s="171"/>
    </row>
    <row r="265" ht="13.5" customHeight="1">
      <c r="I265" s="171"/>
      <c r="J265" s="171"/>
    </row>
    <row r="266" ht="13.5" customHeight="1">
      <c r="I266" s="171"/>
      <c r="J266" s="171"/>
    </row>
    <row r="267" ht="13.5" customHeight="1">
      <c r="I267" s="171"/>
      <c r="J267" s="171"/>
    </row>
    <row r="268" ht="13.5" customHeight="1">
      <c r="I268" s="171"/>
      <c r="J268" s="171"/>
    </row>
    <row r="269" ht="13.5" customHeight="1">
      <c r="I269" s="171"/>
      <c r="J269" s="171"/>
    </row>
    <row r="270" ht="13.5" customHeight="1">
      <c r="I270" s="171"/>
      <c r="J270" s="171"/>
    </row>
    <row r="271" ht="13.5" customHeight="1">
      <c r="I271" s="171"/>
      <c r="J271" s="171"/>
    </row>
    <row r="272" ht="13.5" customHeight="1">
      <c r="I272" s="171"/>
      <c r="J272" s="171"/>
    </row>
    <row r="273" ht="13.5" customHeight="1">
      <c r="I273" s="171"/>
      <c r="J273" s="171"/>
    </row>
    <row r="274" ht="13.5" customHeight="1">
      <c r="I274" s="171"/>
      <c r="J274" s="171"/>
    </row>
    <row r="275" ht="13.5" customHeight="1">
      <c r="I275" s="171"/>
      <c r="J275" s="171"/>
    </row>
    <row r="276" ht="13.5" customHeight="1">
      <c r="I276" s="171"/>
      <c r="J276" s="171"/>
    </row>
    <row r="277" ht="13.5" customHeight="1">
      <c r="I277" s="171"/>
      <c r="J277" s="171"/>
    </row>
    <row r="278" ht="13.5" customHeight="1">
      <c r="I278" s="171"/>
      <c r="J278" s="171"/>
    </row>
    <row r="279" ht="13.5" customHeight="1">
      <c r="I279" s="171"/>
      <c r="J279" s="171"/>
    </row>
    <row r="280" ht="13.5" customHeight="1">
      <c r="I280" s="171"/>
      <c r="J280" s="171"/>
    </row>
    <row r="281" ht="13.5" customHeight="1">
      <c r="I281" s="171"/>
      <c r="J281" s="171"/>
    </row>
    <row r="282" ht="15.75" customHeight="1">
      <c r="I282" s="171"/>
      <c r="J282" s="171"/>
    </row>
    <row r="283" ht="15.75" customHeight="1">
      <c r="I283" s="171"/>
      <c r="J283" s="171"/>
    </row>
    <row r="284" ht="15.75" customHeight="1">
      <c r="I284" s="171"/>
      <c r="J284" s="171"/>
    </row>
    <row r="285" ht="15.75" customHeight="1">
      <c r="I285" s="171"/>
      <c r="J285" s="171"/>
    </row>
    <row r="286" ht="15.75" customHeight="1">
      <c r="I286" s="171"/>
      <c r="J286" s="171"/>
    </row>
    <row r="287" ht="15.75" customHeight="1">
      <c r="I287" s="171"/>
      <c r="J287" s="171"/>
    </row>
    <row r="288" ht="15.75" customHeight="1">
      <c r="I288" s="171"/>
      <c r="J288" s="171"/>
    </row>
    <row r="289" ht="15.75" customHeight="1">
      <c r="I289" s="171"/>
      <c r="J289" s="171"/>
    </row>
    <row r="290" ht="15.75" customHeight="1">
      <c r="I290" s="171"/>
      <c r="J290" s="171"/>
    </row>
    <row r="291" ht="15.75" customHeight="1">
      <c r="I291" s="171"/>
      <c r="J291" s="171"/>
    </row>
    <row r="292" ht="15.75" customHeight="1">
      <c r="I292" s="171"/>
      <c r="J292" s="171"/>
    </row>
    <row r="293" ht="15.75" customHeight="1">
      <c r="I293" s="171"/>
      <c r="J293" s="171"/>
    </row>
    <row r="294" ht="15.75" customHeight="1">
      <c r="I294" s="171"/>
      <c r="J294" s="171"/>
    </row>
    <row r="295" ht="15.75" customHeight="1">
      <c r="I295" s="171"/>
      <c r="J295" s="171"/>
    </row>
    <row r="296" ht="15.75" customHeight="1">
      <c r="I296" s="171"/>
      <c r="J296" s="171"/>
    </row>
    <row r="297" ht="15.75" customHeight="1">
      <c r="I297" s="171"/>
      <c r="J297" s="171"/>
    </row>
    <row r="298" ht="15.75" customHeight="1">
      <c r="I298" s="171"/>
      <c r="J298" s="171"/>
    </row>
    <row r="299" ht="15.75" customHeight="1">
      <c r="I299" s="171"/>
      <c r="J299" s="171"/>
    </row>
    <row r="300" ht="15.75" customHeight="1">
      <c r="I300" s="171"/>
      <c r="J300" s="171"/>
    </row>
    <row r="301" ht="15.75" customHeight="1">
      <c r="I301" s="171"/>
      <c r="J301" s="171"/>
    </row>
    <row r="302" ht="15.75" customHeight="1">
      <c r="I302" s="171"/>
      <c r="J302" s="171"/>
    </row>
    <row r="303" ht="15.75" customHeight="1">
      <c r="I303" s="171"/>
      <c r="J303" s="171"/>
    </row>
    <row r="304" ht="15.75" customHeight="1">
      <c r="I304" s="171"/>
      <c r="J304" s="171"/>
    </row>
    <row r="305" ht="15.75" customHeight="1">
      <c r="I305" s="171"/>
      <c r="J305" s="171"/>
    </row>
    <row r="306" ht="15.75" customHeight="1">
      <c r="I306" s="171"/>
      <c r="J306" s="171"/>
    </row>
    <row r="307" ht="15.75" customHeight="1">
      <c r="I307" s="171"/>
      <c r="J307" s="171"/>
    </row>
    <row r="308" ht="15.75" customHeight="1">
      <c r="I308" s="171"/>
      <c r="J308" s="171"/>
    </row>
    <row r="309" ht="15.75" customHeight="1">
      <c r="I309" s="171"/>
      <c r="J309" s="171"/>
    </row>
    <row r="310" ht="15.75" customHeight="1">
      <c r="I310" s="171"/>
      <c r="J310" s="171"/>
    </row>
    <row r="311" ht="15.75" customHeight="1">
      <c r="I311" s="171"/>
      <c r="J311" s="171"/>
    </row>
    <row r="312" ht="15.75" customHeight="1">
      <c r="I312" s="171"/>
      <c r="J312" s="171"/>
    </row>
    <row r="313" ht="15.75" customHeight="1">
      <c r="I313" s="171"/>
      <c r="J313" s="171"/>
    </row>
    <row r="314" ht="15.75" customHeight="1">
      <c r="I314" s="171"/>
      <c r="J314" s="171"/>
    </row>
    <row r="315" ht="15.75" customHeight="1">
      <c r="I315" s="171"/>
      <c r="J315" s="171"/>
    </row>
    <row r="316" ht="15.75" customHeight="1">
      <c r="I316" s="171"/>
      <c r="J316" s="171"/>
    </row>
    <row r="317" ht="15.75" customHeight="1">
      <c r="I317" s="171"/>
      <c r="J317" s="171"/>
    </row>
    <row r="318" ht="15.75" customHeight="1">
      <c r="I318" s="171"/>
      <c r="J318" s="171"/>
    </row>
    <row r="319" ht="15.75" customHeight="1">
      <c r="I319" s="171"/>
      <c r="J319" s="171"/>
    </row>
    <row r="320" ht="15.75" customHeight="1">
      <c r="I320" s="171"/>
      <c r="J320" s="171"/>
    </row>
    <row r="321" ht="15.75" customHeight="1">
      <c r="I321" s="171"/>
      <c r="J321" s="171"/>
    </row>
    <row r="322" ht="15.75" customHeight="1">
      <c r="I322" s="171"/>
      <c r="J322" s="171"/>
    </row>
    <row r="323" ht="15.75" customHeight="1">
      <c r="I323" s="171"/>
      <c r="J323" s="171"/>
    </row>
    <row r="324" ht="15.75" customHeight="1">
      <c r="I324" s="171"/>
      <c r="J324" s="171"/>
    </row>
    <row r="325" ht="15.75" customHeight="1">
      <c r="I325" s="171"/>
      <c r="J325" s="171"/>
    </row>
    <row r="326" ht="15.75" customHeight="1">
      <c r="I326" s="171"/>
      <c r="J326" s="171"/>
    </row>
    <row r="327" ht="15.75" customHeight="1">
      <c r="I327" s="171"/>
      <c r="J327" s="171"/>
    </row>
    <row r="328" ht="15.75" customHeight="1">
      <c r="I328" s="171"/>
      <c r="J328" s="171"/>
    </row>
    <row r="329" ht="15.75" customHeight="1">
      <c r="I329" s="171"/>
      <c r="J329" s="171"/>
    </row>
    <row r="330" ht="15.75" customHeight="1">
      <c r="I330" s="171"/>
      <c r="J330" s="171"/>
    </row>
    <row r="331" ht="15.75" customHeight="1">
      <c r="I331" s="171"/>
      <c r="J331" s="171"/>
    </row>
    <row r="332" ht="15.75" customHeight="1">
      <c r="I332" s="171"/>
      <c r="J332" s="171"/>
    </row>
    <row r="333" ht="15.75" customHeight="1">
      <c r="I333" s="171"/>
      <c r="J333" s="171"/>
    </row>
    <row r="334" ht="15.75" customHeight="1">
      <c r="I334" s="171"/>
      <c r="J334" s="171"/>
    </row>
    <row r="335" ht="15.75" customHeight="1">
      <c r="I335" s="171"/>
      <c r="J335" s="171"/>
    </row>
    <row r="336" ht="15.75" customHeight="1">
      <c r="I336" s="171"/>
      <c r="J336" s="171"/>
    </row>
    <row r="337" ht="15.75" customHeight="1">
      <c r="I337" s="171"/>
      <c r="J337" s="171"/>
    </row>
    <row r="338" ht="15.75" customHeight="1">
      <c r="I338" s="171"/>
      <c r="J338" s="171"/>
    </row>
    <row r="339" ht="15.75" customHeight="1">
      <c r="I339" s="171"/>
      <c r="J339" s="171"/>
    </row>
    <row r="340" ht="15.75" customHeight="1">
      <c r="I340" s="171"/>
      <c r="J340" s="171"/>
    </row>
    <row r="341" ht="15.75" customHeight="1">
      <c r="I341" s="171"/>
      <c r="J341" s="171"/>
    </row>
    <row r="342" ht="15.75" customHeight="1">
      <c r="I342" s="171"/>
      <c r="J342" s="171"/>
    </row>
    <row r="343" ht="15.75" customHeight="1">
      <c r="I343" s="171"/>
      <c r="J343" s="171"/>
    </row>
    <row r="344" ht="15.75" customHeight="1">
      <c r="I344" s="171"/>
      <c r="J344" s="171"/>
    </row>
    <row r="345" ht="15.75" customHeight="1">
      <c r="I345" s="171"/>
      <c r="J345" s="171"/>
    </row>
    <row r="346" ht="15.75" customHeight="1">
      <c r="I346" s="171"/>
      <c r="J346" s="171"/>
    </row>
    <row r="347" ht="15.75" customHeight="1">
      <c r="I347" s="171"/>
      <c r="J347" s="171"/>
    </row>
    <row r="348" ht="15.75" customHeight="1">
      <c r="I348" s="171"/>
      <c r="J348" s="171"/>
    </row>
    <row r="349" ht="15.75" customHeight="1">
      <c r="I349" s="171"/>
      <c r="J349" s="171"/>
    </row>
    <row r="350" ht="15.75" customHeight="1">
      <c r="I350" s="171"/>
      <c r="J350" s="171"/>
    </row>
    <row r="351" ht="15.75" customHeight="1">
      <c r="I351" s="171"/>
      <c r="J351" s="171"/>
    </row>
    <row r="352" ht="15.75" customHeight="1">
      <c r="I352" s="171"/>
      <c r="J352" s="171"/>
    </row>
    <row r="353" ht="15.75" customHeight="1">
      <c r="I353" s="171"/>
      <c r="J353" s="171"/>
    </row>
    <row r="354" ht="15.75" customHeight="1">
      <c r="I354" s="171"/>
      <c r="J354" s="171"/>
    </row>
    <row r="355" ht="15.75" customHeight="1">
      <c r="I355" s="171"/>
      <c r="J355" s="171"/>
    </row>
    <row r="356" ht="15.75" customHeight="1">
      <c r="I356" s="171"/>
      <c r="J356" s="171"/>
    </row>
    <row r="357" ht="15.75" customHeight="1">
      <c r="I357" s="171"/>
      <c r="J357" s="171"/>
    </row>
    <row r="358" ht="15.75" customHeight="1">
      <c r="I358" s="171"/>
      <c r="J358" s="171"/>
    </row>
    <row r="359" ht="15.75" customHeight="1">
      <c r="I359" s="171"/>
      <c r="J359" s="171"/>
    </row>
    <row r="360" ht="15.75" customHeight="1">
      <c r="I360" s="171"/>
      <c r="J360" s="171"/>
    </row>
    <row r="361" ht="15.75" customHeight="1">
      <c r="I361" s="171"/>
      <c r="J361" s="171"/>
    </row>
    <row r="362" ht="15.75" customHeight="1">
      <c r="I362" s="171"/>
      <c r="J362" s="171"/>
    </row>
    <row r="363" ht="15.75" customHeight="1">
      <c r="I363" s="171"/>
      <c r="J363" s="171"/>
    </row>
    <row r="364" ht="15.75" customHeight="1">
      <c r="I364" s="171"/>
      <c r="J364" s="171"/>
    </row>
    <row r="365" ht="15.75" customHeight="1">
      <c r="I365" s="171"/>
      <c r="J365" s="171"/>
    </row>
    <row r="366" ht="15.75" customHeight="1">
      <c r="I366" s="171"/>
      <c r="J366" s="171"/>
    </row>
    <row r="367" ht="15.75" customHeight="1">
      <c r="I367" s="171"/>
      <c r="J367" s="171"/>
    </row>
    <row r="368" ht="15.75" customHeight="1">
      <c r="I368" s="171"/>
      <c r="J368" s="171"/>
    </row>
    <row r="369" ht="15.75" customHeight="1">
      <c r="I369" s="171"/>
      <c r="J369" s="171"/>
    </row>
    <row r="370" ht="15.75" customHeight="1">
      <c r="I370" s="171"/>
      <c r="J370" s="171"/>
    </row>
    <row r="371" ht="15.75" customHeight="1">
      <c r="I371" s="171"/>
      <c r="J371" s="171"/>
    </row>
    <row r="372" ht="15.75" customHeight="1">
      <c r="I372" s="171"/>
      <c r="J372" s="171"/>
    </row>
    <row r="373" ht="15.75" customHeight="1">
      <c r="I373" s="171"/>
      <c r="J373" s="171"/>
    </row>
    <row r="374" ht="15.75" customHeight="1">
      <c r="I374" s="171"/>
      <c r="J374" s="171"/>
    </row>
    <row r="375" ht="15.75" customHeight="1">
      <c r="I375" s="171"/>
      <c r="J375" s="171"/>
    </row>
    <row r="376" ht="15.75" customHeight="1">
      <c r="I376" s="171"/>
      <c r="J376" s="171"/>
    </row>
    <row r="377" ht="15.75" customHeight="1">
      <c r="I377" s="171"/>
      <c r="J377" s="171"/>
    </row>
    <row r="378" ht="15.75" customHeight="1">
      <c r="I378" s="171"/>
      <c r="J378" s="171"/>
    </row>
    <row r="379" ht="15.75" customHeight="1">
      <c r="I379" s="171"/>
      <c r="J379" s="171"/>
    </row>
    <row r="380" ht="15.75" customHeight="1">
      <c r="I380" s="171"/>
      <c r="J380" s="171"/>
    </row>
    <row r="381" ht="15.75" customHeight="1">
      <c r="I381" s="171"/>
      <c r="J381" s="171"/>
    </row>
    <row r="382" ht="15.75" customHeight="1">
      <c r="I382" s="171"/>
      <c r="J382" s="171"/>
    </row>
    <row r="383" ht="15.75" customHeight="1">
      <c r="I383" s="171"/>
      <c r="J383" s="171"/>
    </row>
    <row r="384" ht="15.75" customHeight="1">
      <c r="I384" s="171"/>
      <c r="J384" s="171"/>
    </row>
    <row r="385" ht="15.75" customHeight="1">
      <c r="I385" s="171"/>
      <c r="J385" s="171"/>
    </row>
    <row r="386" ht="15.75" customHeight="1">
      <c r="I386" s="171"/>
      <c r="J386" s="171"/>
    </row>
    <row r="387" ht="15.75" customHeight="1">
      <c r="I387" s="171"/>
      <c r="J387" s="171"/>
    </row>
    <row r="388" ht="15.75" customHeight="1">
      <c r="I388" s="171"/>
      <c r="J388" s="171"/>
    </row>
    <row r="389" ht="15.75" customHeight="1">
      <c r="I389" s="171"/>
      <c r="J389" s="171"/>
    </row>
    <row r="390" ht="15.75" customHeight="1">
      <c r="I390" s="171"/>
      <c r="J390" s="171"/>
    </row>
    <row r="391" ht="15.75" customHeight="1">
      <c r="I391" s="171"/>
      <c r="J391" s="171"/>
    </row>
    <row r="392" ht="15.75" customHeight="1">
      <c r="I392" s="171"/>
      <c r="J392" s="171"/>
    </row>
    <row r="393" ht="15.75" customHeight="1">
      <c r="I393" s="171"/>
      <c r="J393" s="171"/>
    </row>
    <row r="394" ht="15.75" customHeight="1">
      <c r="I394" s="171"/>
      <c r="J394" s="171"/>
    </row>
    <row r="395" ht="15.75" customHeight="1">
      <c r="I395" s="171"/>
      <c r="J395" s="171"/>
    </row>
    <row r="396" ht="15.75" customHeight="1">
      <c r="I396" s="171"/>
      <c r="J396" s="171"/>
    </row>
    <row r="397" ht="15.75" customHeight="1">
      <c r="I397" s="171"/>
      <c r="J397" s="171"/>
    </row>
    <row r="398" ht="15.75" customHeight="1">
      <c r="I398" s="171"/>
      <c r="J398" s="171"/>
    </row>
    <row r="399" ht="15.75" customHeight="1">
      <c r="I399" s="171"/>
      <c r="J399" s="171"/>
    </row>
    <row r="400" ht="15.75" customHeight="1">
      <c r="I400" s="171"/>
      <c r="J400" s="171"/>
    </row>
    <row r="401" ht="15.75" customHeight="1">
      <c r="I401" s="171"/>
      <c r="J401" s="171"/>
    </row>
    <row r="402" ht="15.75" customHeight="1">
      <c r="I402" s="171"/>
      <c r="J402" s="171"/>
    </row>
    <row r="403" ht="15.75" customHeight="1">
      <c r="I403" s="171"/>
      <c r="J403" s="171"/>
    </row>
    <row r="404" ht="15.75" customHeight="1">
      <c r="I404" s="171"/>
      <c r="J404" s="171"/>
    </row>
    <row r="405" ht="15.75" customHeight="1">
      <c r="I405" s="171"/>
      <c r="J405" s="171"/>
    </row>
    <row r="406" ht="15.75" customHeight="1">
      <c r="I406" s="171"/>
      <c r="J406" s="171"/>
    </row>
    <row r="407" ht="15.75" customHeight="1">
      <c r="I407" s="171"/>
      <c r="J407" s="171"/>
    </row>
    <row r="408" ht="15.75" customHeight="1">
      <c r="I408" s="171"/>
      <c r="J408" s="171"/>
    </row>
    <row r="409" ht="15.75" customHeight="1">
      <c r="I409" s="171"/>
      <c r="J409" s="171"/>
    </row>
    <row r="410" ht="15.75" customHeight="1">
      <c r="I410" s="171"/>
      <c r="J410" s="171"/>
    </row>
    <row r="411" ht="15.75" customHeight="1">
      <c r="I411" s="171"/>
      <c r="J411" s="171"/>
    </row>
    <row r="412" ht="15.75" customHeight="1">
      <c r="I412" s="171"/>
      <c r="J412" s="171"/>
    </row>
    <row r="413" ht="15.75" customHeight="1">
      <c r="I413" s="171"/>
      <c r="J413" s="171"/>
    </row>
    <row r="414" ht="15.75" customHeight="1">
      <c r="I414" s="171"/>
      <c r="J414" s="171"/>
    </row>
    <row r="415" ht="15.75" customHeight="1">
      <c r="I415" s="171"/>
      <c r="J415" s="171"/>
    </row>
    <row r="416" ht="15.75" customHeight="1">
      <c r="I416" s="171"/>
      <c r="J416" s="171"/>
    </row>
    <row r="417" ht="15.75" customHeight="1">
      <c r="I417" s="171"/>
      <c r="J417" s="171"/>
    </row>
    <row r="418" ht="15.75" customHeight="1">
      <c r="I418" s="171"/>
      <c r="J418" s="171"/>
    </row>
    <row r="419" ht="15.75" customHeight="1">
      <c r="I419" s="171"/>
      <c r="J419" s="171"/>
    </row>
    <row r="420" ht="15.75" customHeight="1">
      <c r="I420" s="171"/>
      <c r="J420" s="171"/>
    </row>
    <row r="421" ht="15.75" customHeight="1">
      <c r="I421" s="171"/>
      <c r="J421" s="171"/>
    </row>
    <row r="422" ht="15.75" customHeight="1">
      <c r="I422" s="171"/>
      <c r="J422" s="171"/>
    </row>
    <row r="423" ht="15.75" customHeight="1">
      <c r="I423" s="171"/>
      <c r="J423" s="171"/>
    </row>
    <row r="424" ht="15.75" customHeight="1">
      <c r="I424" s="171"/>
      <c r="J424" s="171"/>
    </row>
    <row r="425" ht="15.75" customHeight="1">
      <c r="I425" s="171"/>
      <c r="J425" s="171"/>
    </row>
    <row r="426" ht="15.75" customHeight="1">
      <c r="I426" s="171"/>
      <c r="J426" s="171"/>
    </row>
    <row r="427" ht="15.75" customHeight="1">
      <c r="I427" s="171"/>
      <c r="J427" s="171"/>
    </row>
    <row r="428" ht="15.75" customHeight="1">
      <c r="I428" s="171"/>
      <c r="J428" s="171"/>
    </row>
    <row r="429" ht="15.75" customHeight="1">
      <c r="I429" s="171"/>
      <c r="J429" s="171"/>
    </row>
    <row r="430" ht="15.75" customHeight="1">
      <c r="I430" s="171"/>
      <c r="J430" s="171"/>
    </row>
    <row r="431" ht="15.75" customHeight="1">
      <c r="I431" s="171"/>
      <c r="J431" s="171"/>
    </row>
    <row r="432" ht="15.75" customHeight="1">
      <c r="I432" s="171"/>
      <c r="J432" s="171"/>
    </row>
    <row r="433" ht="15.75" customHeight="1">
      <c r="I433" s="171"/>
      <c r="J433" s="171"/>
    </row>
    <row r="434" ht="15.75" customHeight="1">
      <c r="I434" s="171"/>
      <c r="J434" s="171"/>
    </row>
    <row r="435" ht="15.75" customHeight="1">
      <c r="I435" s="171"/>
      <c r="J435" s="171"/>
    </row>
    <row r="436" ht="15.75" customHeight="1">
      <c r="I436" s="171"/>
      <c r="J436" s="171"/>
    </row>
    <row r="437" ht="15.75" customHeight="1">
      <c r="I437" s="171"/>
      <c r="J437" s="171"/>
    </row>
    <row r="438" ht="15.75" customHeight="1">
      <c r="I438" s="171"/>
      <c r="J438" s="171"/>
    </row>
    <row r="439" ht="15.75" customHeight="1">
      <c r="I439" s="171"/>
      <c r="J439" s="171"/>
    </row>
    <row r="440" ht="15.75" customHeight="1">
      <c r="I440" s="171"/>
      <c r="J440" s="171"/>
    </row>
    <row r="441" ht="15.75" customHeight="1">
      <c r="I441" s="171"/>
      <c r="J441" s="171"/>
    </row>
    <row r="442" ht="15.75" customHeight="1">
      <c r="I442" s="171"/>
      <c r="J442" s="171"/>
    </row>
    <row r="443" ht="15.75" customHeight="1">
      <c r="I443" s="171"/>
      <c r="J443" s="171"/>
    </row>
    <row r="444" ht="15.75" customHeight="1">
      <c r="I444" s="171"/>
      <c r="J444" s="171"/>
    </row>
    <row r="445" ht="15.75" customHeight="1">
      <c r="I445" s="171"/>
      <c r="J445" s="171"/>
    </row>
    <row r="446" ht="15.75" customHeight="1">
      <c r="I446" s="171"/>
      <c r="J446" s="171"/>
    </row>
    <row r="447" ht="15.75" customHeight="1">
      <c r="I447" s="171"/>
      <c r="J447" s="171"/>
    </row>
    <row r="448" ht="15.75" customHeight="1">
      <c r="I448" s="171"/>
      <c r="J448" s="171"/>
    </row>
    <row r="449" ht="15.75" customHeight="1">
      <c r="I449" s="171"/>
      <c r="J449" s="171"/>
    </row>
    <row r="450" ht="15.75" customHeight="1">
      <c r="I450" s="171"/>
      <c r="J450" s="171"/>
    </row>
    <row r="451" ht="15.75" customHeight="1">
      <c r="I451" s="171"/>
      <c r="J451" s="171"/>
    </row>
    <row r="452" ht="15.75" customHeight="1">
      <c r="I452" s="171"/>
      <c r="J452" s="171"/>
    </row>
    <row r="453" ht="15.75" customHeight="1">
      <c r="I453" s="171"/>
      <c r="J453" s="171"/>
    </row>
    <row r="454" ht="15.75" customHeight="1">
      <c r="I454" s="171"/>
      <c r="J454" s="171"/>
    </row>
    <row r="455" ht="15.75" customHeight="1">
      <c r="I455" s="171"/>
      <c r="J455" s="171"/>
    </row>
    <row r="456" ht="15.75" customHeight="1">
      <c r="I456" s="171"/>
      <c r="J456" s="171"/>
    </row>
    <row r="457" ht="15.75" customHeight="1">
      <c r="I457" s="171"/>
      <c r="J457" s="171"/>
    </row>
    <row r="458" ht="15.75" customHeight="1">
      <c r="I458" s="171"/>
      <c r="J458" s="171"/>
    </row>
    <row r="459" ht="15.75" customHeight="1">
      <c r="I459" s="171"/>
      <c r="J459" s="171"/>
    </row>
    <row r="460" ht="15.75" customHeight="1">
      <c r="I460" s="171"/>
      <c r="J460" s="171"/>
    </row>
    <row r="461" ht="15.75" customHeight="1">
      <c r="I461" s="171"/>
      <c r="J461" s="171"/>
    </row>
    <row r="462" ht="15.75" customHeight="1">
      <c r="I462" s="171"/>
      <c r="J462" s="171"/>
    </row>
    <row r="463" ht="15.75" customHeight="1">
      <c r="I463" s="171"/>
      <c r="J463" s="171"/>
    </row>
    <row r="464" ht="15.75" customHeight="1">
      <c r="I464" s="171"/>
      <c r="J464" s="171"/>
    </row>
    <row r="465" ht="15.75" customHeight="1">
      <c r="I465" s="171"/>
      <c r="J465" s="171"/>
    </row>
    <row r="466" ht="15.75" customHeight="1">
      <c r="I466" s="171"/>
      <c r="J466" s="171"/>
    </row>
    <row r="467" ht="15.75" customHeight="1">
      <c r="I467" s="171"/>
      <c r="J467" s="171"/>
    </row>
    <row r="468" ht="15.75" customHeight="1">
      <c r="I468" s="171"/>
      <c r="J468" s="171"/>
    </row>
    <row r="469" ht="15.75" customHeight="1">
      <c r="I469" s="171"/>
      <c r="J469" s="171"/>
    </row>
    <row r="470" ht="15.75" customHeight="1">
      <c r="I470" s="171"/>
      <c r="J470" s="171"/>
    </row>
    <row r="471" ht="15.75" customHeight="1">
      <c r="I471" s="171"/>
      <c r="J471" s="171"/>
    </row>
    <row r="472" ht="15.75" customHeight="1">
      <c r="I472" s="171"/>
      <c r="J472" s="171"/>
    </row>
    <row r="473" ht="15.75" customHeight="1">
      <c r="I473" s="171"/>
      <c r="J473" s="171"/>
    </row>
    <row r="474" ht="15.75" customHeight="1">
      <c r="I474" s="171"/>
      <c r="J474" s="171"/>
    </row>
    <row r="475" ht="15.75" customHeight="1">
      <c r="I475" s="171"/>
      <c r="J475" s="171"/>
    </row>
    <row r="476" ht="15.75" customHeight="1">
      <c r="I476" s="171"/>
      <c r="J476" s="171"/>
    </row>
    <row r="477" ht="15.75" customHeight="1">
      <c r="I477" s="171"/>
      <c r="J477" s="171"/>
    </row>
    <row r="478" ht="15.75" customHeight="1">
      <c r="I478" s="171"/>
      <c r="J478" s="171"/>
    </row>
    <row r="479" ht="15.75" customHeight="1">
      <c r="I479" s="171"/>
      <c r="J479" s="171"/>
    </row>
    <row r="480" ht="15.75" customHeight="1">
      <c r="I480" s="171"/>
      <c r="J480" s="171"/>
    </row>
    <row r="481" ht="15.75" customHeight="1">
      <c r="I481" s="171"/>
      <c r="J481" s="171"/>
    </row>
    <row r="482" ht="15.75" customHeight="1">
      <c r="I482" s="171"/>
      <c r="J482" s="171"/>
    </row>
    <row r="483" ht="15.75" customHeight="1">
      <c r="I483" s="171"/>
      <c r="J483" s="171"/>
    </row>
    <row r="484" ht="15.75" customHeight="1">
      <c r="I484" s="171"/>
      <c r="J484" s="171"/>
    </row>
    <row r="485" ht="15.75" customHeight="1">
      <c r="I485" s="171"/>
      <c r="J485" s="171"/>
    </row>
    <row r="486" ht="15.75" customHeight="1">
      <c r="I486" s="171"/>
      <c r="J486" s="171"/>
    </row>
    <row r="487" ht="15.75" customHeight="1">
      <c r="I487" s="171"/>
      <c r="J487" s="171"/>
    </row>
    <row r="488" ht="15.75" customHeight="1">
      <c r="I488" s="171"/>
      <c r="J488" s="171"/>
    </row>
    <row r="489" ht="15.75" customHeight="1">
      <c r="I489" s="171"/>
      <c r="J489" s="171"/>
    </row>
    <row r="490" ht="15.75" customHeight="1">
      <c r="I490" s="171"/>
      <c r="J490" s="171"/>
    </row>
    <row r="491" ht="15.75" customHeight="1">
      <c r="I491" s="171"/>
      <c r="J491" s="171"/>
    </row>
    <row r="492" ht="15.75" customHeight="1">
      <c r="I492" s="171"/>
      <c r="J492" s="171"/>
    </row>
    <row r="493" ht="15.75" customHeight="1">
      <c r="I493" s="171"/>
      <c r="J493" s="171"/>
    </row>
    <row r="494" ht="15.75" customHeight="1">
      <c r="I494" s="171"/>
      <c r="J494" s="171"/>
    </row>
    <row r="495" ht="15.75" customHeight="1">
      <c r="I495" s="171"/>
      <c r="J495" s="171"/>
    </row>
    <row r="496" ht="15.75" customHeight="1">
      <c r="I496" s="171"/>
      <c r="J496" s="171"/>
    </row>
    <row r="497" ht="15.75" customHeight="1">
      <c r="I497" s="171"/>
      <c r="J497" s="171"/>
    </row>
    <row r="498" ht="15.75" customHeight="1">
      <c r="I498" s="171"/>
      <c r="J498" s="171"/>
    </row>
    <row r="499" ht="15.75" customHeight="1">
      <c r="I499" s="171"/>
      <c r="J499" s="171"/>
    </row>
    <row r="500" ht="15.75" customHeight="1">
      <c r="I500" s="171"/>
      <c r="J500" s="171"/>
    </row>
    <row r="501" ht="15.75" customHeight="1">
      <c r="I501" s="171"/>
      <c r="J501" s="171"/>
    </row>
    <row r="502" ht="15.75" customHeight="1">
      <c r="I502" s="171"/>
      <c r="J502" s="171"/>
    </row>
    <row r="503" ht="15.75" customHeight="1">
      <c r="I503" s="171"/>
      <c r="J503" s="171"/>
    </row>
    <row r="504" ht="15.75" customHeight="1">
      <c r="I504" s="171"/>
      <c r="J504" s="171"/>
    </row>
    <row r="505" ht="15.75" customHeight="1">
      <c r="I505" s="171"/>
      <c r="J505" s="171"/>
    </row>
    <row r="506" ht="15.75" customHeight="1">
      <c r="I506" s="171"/>
      <c r="J506" s="171"/>
    </row>
    <row r="507" ht="15.75" customHeight="1">
      <c r="I507" s="171"/>
      <c r="J507" s="171"/>
    </row>
    <row r="508" ht="15.75" customHeight="1">
      <c r="I508" s="171"/>
      <c r="J508" s="171"/>
    </row>
    <row r="509" ht="15.75" customHeight="1">
      <c r="I509" s="171"/>
      <c r="J509" s="171"/>
    </row>
    <row r="510" ht="15.75" customHeight="1">
      <c r="I510" s="171"/>
      <c r="J510" s="171"/>
    </row>
    <row r="511" ht="15.75" customHeight="1">
      <c r="I511" s="171"/>
      <c r="J511" s="171"/>
    </row>
    <row r="512" ht="15.75" customHeight="1">
      <c r="I512" s="171"/>
      <c r="J512" s="171"/>
    </row>
    <row r="513" ht="15.75" customHeight="1">
      <c r="I513" s="171"/>
      <c r="J513" s="171"/>
    </row>
    <row r="514" ht="15.75" customHeight="1">
      <c r="I514" s="171"/>
      <c r="J514" s="171"/>
    </row>
    <row r="515" ht="15.75" customHeight="1">
      <c r="I515" s="171"/>
      <c r="J515" s="171"/>
    </row>
    <row r="516" ht="15.75" customHeight="1">
      <c r="I516" s="171"/>
      <c r="J516" s="171"/>
    </row>
    <row r="517" ht="15.75" customHeight="1">
      <c r="I517" s="171"/>
      <c r="J517" s="171"/>
    </row>
    <row r="518" ht="15.75" customHeight="1">
      <c r="I518" s="171"/>
      <c r="J518" s="171"/>
    </row>
    <row r="519" ht="15.75" customHeight="1">
      <c r="I519" s="171"/>
      <c r="J519" s="171"/>
    </row>
    <row r="520" ht="15.75" customHeight="1">
      <c r="I520" s="171"/>
      <c r="J520" s="171"/>
    </row>
    <row r="521" ht="15.75" customHeight="1">
      <c r="I521" s="171"/>
      <c r="J521" s="171"/>
    </row>
    <row r="522" ht="15.75" customHeight="1">
      <c r="I522" s="171"/>
      <c r="J522" s="171"/>
    </row>
    <row r="523" ht="15.75" customHeight="1">
      <c r="I523" s="171"/>
      <c r="J523" s="171"/>
    </row>
    <row r="524" ht="15.75" customHeight="1">
      <c r="I524" s="171"/>
      <c r="J524" s="171"/>
    </row>
    <row r="525" ht="15.75" customHeight="1">
      <c r="I525" s="171"/>
      <c r="J525" s="171"/>
    </row>
    <row r="526" ht="15.75" customHeight="1">
      <c r="I526" s="171"/>
      <c r="J526" s="171"/>
    </row>
    <row r="527" ht="15.75" customHeight="1">
      <c r="I527" s="171"/>
      <c r="J527" s="171"/>
    </row>
    <row r="528" ht="15.75" customHeight="1">
      <c r="I528" s="171"/>
      <c r="J528" s="171"/>
    </row>
    <row r="529" ht="15.75" customHeight="1">
      <c r="I529" s="171"/>
      <c r="J529" s="171"/>
    </row>
    <row r="530" ht="15.75" customHeight="1">
      <c r="I530" s="171"/>
      <c r="J530" s="171"/>
    </row>
    <row r="531" ht="15.75" customHeight="1">
      <c r="I531" s="171"/>
      <c r="J531" s="171"/>
    </row>
    <row r="532" ht="15.75" customHeight="1">
      <c r="I532" s="171"/>
      <c r="J532" s="171"/>
    </row>
    <row r="533" ht="15.75" customHeight="1">
      <c r="I533" s="171"/>
      <c r="J533" s="171"/>
    </row>
    <row r="534" ht="15.75" customHeight="1">
      <c r="I534" s="171"/>
      <c r="J534" s="171"/>
    </row>
    <row r="535" ht="15.75" customHeight="1">
      <c r="I535" s="171"/>
      <c r="J535" s="171"/>
    </row>
    <row r="536" ht="15.75" customHeight="1">
      <c r="I536" s="171"/>
      <c r="J536" s="171"/>
    </row>
    <row r="537" ht="15.75" customHeight="1">
      <c r="I537" s="171"/>
      <c r="J537" s="171"/>
    </row>
    <row r="538" ht="15.75" customHeight="1">
      <c r="I538" s="171"/>
      <c r="J538" s="171"/>
    </row>
    <row r="539" ht="15.75" customHeight="1">
      <c r="I539" s="171"/>
      <c r="J539" s="171"/>
    </row>
    <row r="540" ht="15.75" customHeight="1">
      <c r="I540" s="171"/>
      <c r="J540" s="171"/>
    </row>
    <row r="541" ht="15.75" customHeight="1">
      <c r="I541" s="171"/>
      <c r="J541" s="171"/>
    </row>
    <row r="542" ht="15.75" customHeight="1">
      <c r="I542" s="171"/>
      <c r="J542" s="171"/>
    </row>
    <row r="543" ht="15.75" customHeight="1">
      <c r="I543" s="171"/>
      <c r="J543" s="171"/>
    </row>
    <row r="544" ht="15.75" customHeight="1">
      <c r="I544" s="171"/>
      <c r="J544" s="171"/>
    </row>
    <row r="545" ht="15.75" customHeight="1">
      <c r="I545" s="171"/>
      <c r="J545" s="171"/>
    </row>
    <row r="546" ht="15.75" customHeight="1">
      <c r="I546" s="171"/>
      <c r="J546" s="171"/>
    </row>
    <row r="547" ht="15.75" customHeight="1">
      <c r="I547" s="171"/>
      <c r="J547" s="171"/>
    </row>
    <row r="548" ht="15.75" customHeight="1">
      <c r="I548" s="171"/>
      <c r="J548" s="171"/>
    </row>
    <row r="549" ht="15.75" customHeight="1">
      <c r="I549" s="171"/>
      <c r="J549" s="171"/>
    </row>
    <row r="550" ht="15.75" customHeight="1">
      <c r="I550" s="171"/>
      <c r="J550" s="171"/>
    </row>
    <row r="551" ht="15.75" customHeight="1">
      <c r="I551" s="171"/>
      <c r="J551" s="171"/>
    </row>
    <row r="552" ht="15.75" customHeight="1">
      <c r="I552" s="171"/>
      <c r="J552" s="171"/>
    </row>
    <row r="553" ht="15.75" customHeight="1">
      <c r="I553" s="171"/>
      <c r="J553" s="171"/>
    </row>
    <row r="554" ht="15.75" customHeight="1">
      <c r="I554" s="171"/>
      <c r="J554" s="171"/>
    </row>
    <row r="555" ht="15.75" customHeight="1">
      <c r="I555" s="171"/>
      <c r="J555" s="171"/>
    </row>
    <row r="556" ht="15.75" customHeight="1">
      <c r="I556" s="171"/>
      <c r="J556" s="171"/>
    </row>
    <row r="557" ht="15.75" customHeight="1">
      <c r="I557" s="171"/>
      <c r="J557" s="171"/>
    </row>
    <row r="558" ht="15.75" customHeight="1">
      <c r="I558" s="171"/>
      <c r="J558" s="171"/>
    </row>
    <row r="559" ht="15.75" customHeight="1">
      <c r="I559" s="171"/>
      <c r="J559" s="171"/>
    </row>
    <row r="560" ht="15.75" customHeight="1">
      <c r="I560" s="171"/>
      <c r="J560" s="171"/>
    </row>
    <row r="561" ht="15.75" customHeight="1">
      <c r="I561" s="171"/>
      <c r="J561" s="171"/>
    </row>
    <row r="562" ht="15.75" customHeight="1">
      <c r="I562" s="171"/>
      <c r="J562" s="171"/>
    </row>
    <row r="563" ht="15.75" customHeight="1">
      <c r="I563" s="171"/>
      <c r="J563" s="171"/>
    </row>
    <row r="564" ht="15.75" customHeight="1">
      <c r="I564" s="171"/>
      <c r="J564" s="171"/>
    </row>
    <row r="565" ht="15.75" customHeight="1">
      <c r="I565" s="171"/>
      <c r="J565" s="171"/>
    </row>
    <row r="566" ht="15.75" customHeight="1">
      <c r="I566" s="171"/>
      <c r="J566" s="171"/>
    </row>
    <row r="567" ht="15.75" customHeight="1">
      <c r="I567" s="171"/>
      <c r="J567" s="171"/>
    </row>
    <row r="568" ht="15.75" customHeight="1">
      <c r="I568" s="171"/>
      <c r="J568" s="171"/>
    </row>
    <row r="569" ht="15.75" customHeight="1">
      <c r="I569" s="171"/>
      <c r="J569" s="171"/>
    </row>
    <row r="570" ht="15.75" customHeight="1">
      <c r="I570" s="171"/>
      <c r="J570" s="171"/>
    </row>
    <row r="571" ht="15.75" customHeight="1">
      <c r="I571" s="171"/>
      <c r="J571" s="171"/>
    </row>
    <row r="572" ht="15.75" customHeight="1">
      <c r="I572" s="171"/>
      <c r="J572" s="171"/>
    </row>
    <row r="573" ht="15.75" customHeight="1">
      <c r="I573" s="171"/>
      <c r="J573" s="171"/>
    </row>
    <row r="574" ht="15.75" customHeight="1">
      <c r="I574" s="171"/>
      <c r="J574" s="171"/>
    </row>
    <row r="575" ht="15.75" customHeight="1">
      <c r="I575" s="171"/>
      <c r="J575" s="171"/>
    </row>
    <row r="576" ht="15.75" customHeight="1">
      <c r="I576" s="171"/>
      <c r="J576" s="171"/>
    </row>
    <row r="577" ht="15.75" customHeight="1">
      <c r="I577" s="171"/>
      <c r="J577" s="171"/>
    </row>
    <row r="578" ht="15.75" customHeight="1">
      <c r="I578" s="171"/>
      <c r="J578" s="171"/>
    </row>
    <row r="579" ht="15.75" customHeight="1">
      <c r="I579" s="171"/>
      <c r="J579" s="171"/>
    </row>
    <row r="580" ht="15.75" customHeight="1">
      <c r="I580" s="171"/>
      <c r="J580" s="171"/>
    </row>
    <row r="581" ht="15.75" customHeight="1">
      <c r="I581" s="171"/>
      <c r="J581" s="171"/>
    </row>
    <row r="582" ht="15.75" customHeight="1">
      <c r="I582" s="171"/>
      <c r="J582" s="171"/>
    </row>
    <row r="583" ht="15.75" customHeight="1">
      <c r="I583" s="171"/>
      <c r="J583" s="171"/>
    </row>
    <row r="584" ht="15.75" customHeight="1">
      <c r="I584" s="171"/>
      <c r="J584" s="171"/>
    </row>
    <row r="585" ht="15.75" customHeight="1">
      <c r="I585" s="171"/>
      <c r="J585" s="171"/>
    </row>
    <row r="586" ht="15.75" customHeight="1">
      <c r="I586" s="171"/>
      <c r="J586" s="171"/>
    </row>
    <row r="587" ht="15.75" customHeight="1">
      <c r="I587" s="171"/>
      <c r="J587" s="171"/>
    </row>
    <row r="588" ht="15.75" customHeight="1">
      <c r="I588" s="171"/>
      <c r="J588" s="171"/>
    </row>
    <row r="589" ht="15.75" customHeight="1">
      <c r="I589" s="171"/>
      <c r="J589" s="171"/>
    </row>
    <row r="590" ht="15.75" customHeight="1">
      <c r="I590" s="171"/>
      <c r="J590" s="171"/>
    </row>
    <row r="591" ht="15.75" customHeight="1">
      <c r="I591" s="171"/>
      <c r="J591" s="171"/>
    </row>
    <row r="592" ht="15.75" customHeight="1">
      <c r="I592" s="171"/>
      <c r="J592" s="171"/>
    </row>
    <row r="593" ht="15.75" customHeight="1">
      <c r="I593" s="171"/>
      <c r="J593" s="171"/>
    </row>
    <row r="594" ht="15.75" customHeight="1">
      <c r="I594" s="171"/>
      <c r="J594" s="171"/>
    </row>
    <row r="595" ht="15.75" customHeight="1">
      <c r="I595" s="171"/>
      <c r="J595" s="171"/>
    </row>
    <row r="596" ht="15.75" customHeight="1">
      <c r="I596" s="171"/>
      <c r="J596" s="171"/>
    </row>
    <row r="597" ht="15.75" customHeight="1">
      <c r="I597" s="171"/>
      <c r="J597" s="171"/>
    </row>
    <row r="598" ht="15.75" customHeight="1">
      <c r="I598" s="171"/>
      <c r="J598" s="171"/>
    </row>
    <row r="599" ht="15.75" customHeight="1">
      <c r="I599" s="171"/>
      <c r="J599" s="171"/>
    </row>
    <row r="600" ht="15.75" customHeight="1">
      <c r="I600" s="171"/>
      <c r="J600" s="171"/>
    </row>
    <row r="601" ht="15.75" customHeight="1">
      <c r="I601" s="171"/>
      <c r="J601" s="171"/>
    </row>
    <row r="602" ht="15.75" customHeight="1">
      <c r="I602" s="171"/>
      <c r="J602" s="171"/>
    </row>
    <row r="603" ht="15.75" customHeight="1">
      <c r="I603" s="171"/>
      <c r="J603" s="171"/>
    </row>
    <row r="604" ht="15.75" customHeight="1">
      <c r="I604" s="171"/>
      <c r="J604" s="171"/>
    </row>
    <row r="605" ht="15.75" customHeight="1">
      <c r="I605" s="171"/>
      <c r="J605" s="171"/>
    </row>
    <row r="606" ht="15.75" customHeight="1">
      <c r="I606" s="171"/>
      <c r="J606" s="171"/>
    </row>
    <row r="607" ht="15.75" customHeight="1">
      <c r="I607" s="171"/>
      <c r="J607" s="171"/>
    </row>
    <row r="608" ht="15.75" customHeight="1">
      <c r="I608" s="171"/>
      <c r="J608" s="171"/>
    </row>
    <row r="609" ht="15.75" customHeight="1">
      <c r="I609" s="171"/>
      <c r="J609" s="171"/>
    </row>
    <row r="610" ht="15.75" customHeight="1">
      <c r="I610" s="171"/>
      <c r="J610" s="171"/>
    </row>
    <row r="611" ht="15.75" customHeight="1">
      <c r="I611" s="171"/>
      <c r="J611" s="171"/>
    </row>
    <row r="612" ht="15.75" customHeight="1">
      <c r="I612" s="171"/>
      <c r="J612" s="171"/>
    </row>
    <row r="613" ht="15.75" customHeight="1">
      <c r="I613" s="171"/>
      <c r="J613" s="171"/>
    </row>
    <row r="614" ht="15.75" customHeight="1">
      <c r="I614" s="171"/>
      <c r="J614" s="171"/>
    </row>
    <row r="615" ht="15.75" customHeight="1">
      <c r="I615" s="171"/>
      <c r="J615" s="171"/>
    </row>
    <row r="616" ht="15.75" customHeight="1">
      <c r="I616" s="171"/>
      <c r="J616" s="171"/>
    </row>
    <row r="617" ht="15.75" customHeight="1">
      <c r="I617" s="171"/>
      <c r="J617" s="171"/>
    </row>
    <row r="618" ht="15.75" customHeight="1">
      <c r="I618" s="171"/>
      <c r="J618" s="171"/>
    </row>
    <row r="619" ht="15.75" customHeight="1">
      <c r="I619" s="171"/>
      <c r="J619" s="171"/>
    </row>
    <row r="620" ht="15.75" customHeight="1">
      <c r="I620" s="171"/>
      <c r="J620" s="171"/>
    </row>
    <row r="621" ht="15.75" customHeight="1">
      <c r="I621" s="171"/>
      <c r="J621" s="171"/>
    </row>
    <row r="622" ht="15.75" customHeight="1">
      <c r="I622" s="171"/>
      <c r="J622" s="171"/>
    </row>
    <row r="623" ht="15.75" customHeight="1">
      <c r="I623" s="171"/>
      <c r="J623" s="171"/>
    </row>
    <row r="624" ht="15.75" customHeight="1">
      <c r="I624" s="171"/>
      <c r="J624" s="171"/>
    </row>
    <row r="625" ht="15.75" customHeight="1">
      <c r="I625" s="171"/>
      <c r="J625" s="171"/>
    </row>
    <row r="626" ht="15.75" customHeight="1">
      <c r="I626" s="171"/>
      <c r="J626" s="171"/>
    </row>
    <row r="627" ht="15.75" customHeight="1">
      <c r="I627" s="171"/>
      <c r="J627" s="171"/>
    </row>
    <row r="628" ht="15.75" customHeight="1">
      <c r="I628" s="171"/>
      <c r="J628" s="171"/>
    </row>
    <row r="629" ht="15.75" customHeight="1">
      <c r="I629" s="171"/>
      <c r="J629" s="171"/>
    </row>
    <row r="630" ht="15.75" customHeight="1">
      <c r="I630" s="171"/>
      <c r="J630" s="171"/>
    </row>
    <row r="631" ht="15.75" customHeight="1">
      <c r="I631" s="171"/>
      <c r="J631" s="171"/>
    </row>
    <row r="632" ht="15.75" customHeight="1">
      <c r="I632" s="171"/>
      <c r="J632" s="171"/>
    </row>
    <row r="633" ht="15.75" customHeight="1">
      <c r="I633" s="171"/>
      <c r="J633" s="171"/>
    </row>
    <row r="634" ht="15.75" customHeight="1">
      <c r="I634" s="171"/>
      <c r="J634" s="171"/>
    </row>
    <row r="635" ht="15.75" customHeight="1">
      <c r="I635" s="171"/>
      <c r="J635" s="171"/>
    </row>
    <row r="636" ht="15.75" customHeight="1">
      <c r="I636" s="171"/>
      <c r="J636" s="171"/>
    </row>
    <row r="637" ht="15.75" customHeight="1">
      <c r="I637" s="171"/>
      <c r="J637" s="171"/>
    </row>
    <row r="638" ht="15.75" customHeight="1">
      <c r="I638" s="171"/>
      <c r="J638" s="171"/>
    </row>
    <row r="639" ht="15.75" customHeight="1">
      <c r="I639" s="171"/>
      <c r="J639" s="171"/>
    </row>
    <row r="640" ht="15.75" customHeight="1">
      <c r="I640" s="171"/>
      <c r="J640" s="171"/>
    </row>
    <row r="641" ht="15.75" customHeight="1">
      <c r="I641" s="171"/>
      <c r="J641" s="171"/>
    </row>
    <row r="642" ht="15.75" customHeight="1">
      <c r="I642" s="171"/>
      <c r="J642" s="171"/>
    </row>
    <row r="643" ht="15.75" customHeight="1">
      <c r="I643" s="171"/>
      <c r="J643" s="171"/>
    </row>
    <row r="644" ht="15.75" customHeight="1">
      <c r="I644" s="171"/>
      <c r="J644" s="171"/>
    </row>
    <row r="645" ht="15.75" customHeight="1">
      <c r="I645" s="171"/>
      <c r="J645" s="171"/>
    </row>
    <row r="646" ht="15.75" customHeight="1">
      <c r="I646" s="171"/>
      <c r="J646" s="171"/>
    </row>
    <row r="647" ht="15.75" customHeight="1">
      <c r="I647" s="171"/>
      <c r="J647" s="171"/>
    </row>
    <row r="648" ht="15.75" customHeight="1">
      <c r="I648" s="171"/>
      <c r="J648" s="171"/>
    </row>
    <row r="649" ht="15.75" customHeight="1">
      <c r="I649" s="171"/>
      <c r="J649" s="171"/>
    </row>
    <row r="650" ht="15.75" customHeight="1">
      <c r="I650" s="171"/>
      <c r="J650" s="171"/>
    </row>
    <row r="651" ht="15.75" customHeight="1">
      <c r="I651" s="171"/>
      <c r="J651" s="171"/>
    </row>
    <row r="652" ht="15.75" customHeight="1">
      <c r="I652" s="171"/>
      <c r="J652" s="171"/>
    </row>
    <row r="653" ht="15.75" customHeight="1">
      <c r="I653" s="171"/>
      <c r="J653" s="171"/>
    </row>
    <row r="654" ht="15.75" customHeight="1">
      <c r="I654" s="171"/>
      <c r="J654" s="171"/>
    </row>
    <row r="655" ht="15.75" customHeight="1">
      <c r="I655" s="171"/>
      <c r="J655" s="171"/>
    </row>
    <row r="656" ht="15.75" customHeight="1">
      <c r="I656" s="171"/>
      <c r="J656" s="171"/>
    </row>
    <row r="657" ht="15.75" customHeight="1">
      <c r="I657" s="171"/>
      <c r="J657" s="171"/>
    </row>
    <row r="658" ht="15.75" customHeight="1">
      <c r="I658" s="171"/>
      <c r="J658" s="171"/>
    </row>
    <row r="659" ht="15.75" customHeight="1">
      <c r="I659" s="171"/>
      <c r="J659" s="171"/>
    </row>
    <row r="660" ht="15.75" customHeight="1">
      <c r="I660" s="171"/>
      <c r="J660" s="171"/>
    </row>
    <row r="661" ht="15.75" customHeight="1">
      <c r="I661" s="171"/>
      <c r="J661" s="171"/>
    </row>
    <row r="662" ht="15.75" customHeight="1">
      <c r="I662" s="171"/>
      <c r="J662" s="171"/>
    </row>
    <row r="663" ht="15.75" customHeight="1">
      <c r="I663" s="171"/>
      <c r="J663" s="171"/>
    </row>
    <row r="664" ht="15.75" customHeight="1">
      <c r="I664" s="171"/>
      <c r="J664" s="171"/>
    </row>
    <row r="665" ht="15.75" customHeight="1">
      <c r="I665" s="171"/>
      <c r="J665" s="171"/>
    </row>
    <row r="666" ht="15.75" customHeight="1">
      <c r="I666" s="171"/>
      <c r="J666" s="171"/>
    </row>
    <row r="667" ht="15.75" customHeight="1">
      <c r="I667" s="171"/>
      <c r="J667" s="171"/>
    </row>
    <row r="668" ht="15.75" customHeight="1">
      <c r="I668" s="171"/>
      <c r="J668" s="171"/>
    </row>
    <row r="669" ht="15.75" customHeight="1">
      <c r="I669" s="171"/>
      <c r="J669" s="171"/>
    </row>
    <row r="670" ht="15.75" customHeight="1">
      <c r="I670" s="171"/>
      <c r="J670" s="171"/>
    </row>
    <row r="671" ht="15.75" customHeight="1">
      <c r="I671" s="171"/>
      <c r="J671" s="171"/>
    </row>
    <row r="672" ht="15.75" customHeight="1">
      <c r="I672" s="171"/>
      <c r="J672" s="171"/>
    </row>
    <row r="673" ht="15.75" customHeight="1">
      <c r="I673" s="171"/>
      <c r="J673" s="171"/>
    </row>
    <row r="674" ht="15.75" customHeight="1">
      <c r="I674" s="171"/>
      <c r="J674" s="171"/>
    </row>
    <row r="675" ht="15.75" customHeight="1">
      <c r="I675" s="171"/>
      <c r="J675" s="171"/>
    </row>
    <row r="676" ht="15.75" customHeight="1">
      <c r="I676" s="171"/>
      <c r="J676" s="171"/>
    </row>
    <row r="677" ht="15.75" customHeight="1">
      <c r="I677" s="171"/>
      <c r="J677" s="171"/>
    </row>
    <row r="678" ht="15.75" customHeight="1">
      <c r="I678" s="171"/>
      <c r="J678" s="171"/>
    </row>
    <row r="679" ht="15.75" customHeight="1">
      <c r="I679" s="171"/>
      <c r="J679" s="171"/>
    </row>
    <row r="680" ht="15.75" customHeight="1">
      <c r="I680" s="171"/>
      <c r="J680" s="171"/>
    </row>
    <row r="681" ht="15.75" customHeight="1">
      <c r="I681" s="171"/>
      <c r="J681" s="171"/>
    </row>
    <row r="682" ht="15.75" customHeight="1">
      <c r="I682" s="171"/>
      <c r="J682" s="171"/>
    </row>
    <row r="683" ht="15.75" customHeight="1">
      <c r="I683" s="171"/>
      <c r="J683" s="171"/>
    </row>
    <row r="684" ht="15.75" customHeight="1">
      <c r="I684" s="171"/>
      <c r="J684" s="171"/>
    </row>
    <row r="685" ht="15.75" customHeight="1">
      <c r="I685" s="171"/>
      <c r="J685" s="171"/>
    </row>
    <row r="686" ht="15.75" customHeight="1">
      <c r="I686" s="171"/>
      <c r="J686" s="171"/>
    </row>
    <row r="687" ht="15.75" customHeight="1">
      <c r="I687" s="171"/>
      <c r="J687" s="171"/>
    </row>
    <row r="688" ht="15.75" customHeight="1">
      <c r="I688" s="171"/>
      <c r="J688" s="171"/>
    </row>
    <row r="689" ht="15.75" customHeight="1">
      <c r="I689" s="171"/>
      <c r="J689" s="171"/>
    </row>
    <row r="690" ht="15.75" customHeight="1">
      <c r="I690" s="171"/>
      <c r="J690" s="171"/>
    </row>
    <row r="691" ht="15.75" customHeight="1">
      <c r="I691" s="171"/>
      <c r="J691" s="171"/>
    </row>
    <row r="692" ht="15.75" customHeight="1">
      <c r="I692" s="171"/>
      <c r="J692" s="171"/>
    </row>
    <row r="693" ht="15.75" customHeight="1">
      <c r="I693" s="171"/>
      <c r="J693" s="171"/>
    </row>
    <row r="694" ht="15.75" customHeight="1">
      <c r="I694" s="171"/>
      <c r="J694" s="171"/>
    </row>
    <row r="695" ht="15.75" customHeight="1">
      <c r="I695" s="171"/>
      <c r="J695" s="171"/>
    </row>
    <row r="696" ht="15.75" customHeight="1">
      <c r="I696" s="171"/>
      <c r="J696" s="171"/>
    </row>
    <row r="697" ht="15.75" customHeight="1">
      <c r="I697" s="171"/>
      <c r="J697" s="171"/>
    </row>
    <row r="698" ht="15.75" customHeight="1">
      <c r="I698" s="171"/>
      <c r="J698" s="171"/>
    </row>
    <row r="699" ht="15.75" customHeight="1">
      <c r="I699" s="171"/>
      <c r="J699" s="171"/>
    </row>
    <row r="700" ht="15.75" customHeight="1">
      <c r="I700" s="171"/>
      <c r="J700" s="171"/>
    </row>
    <row r="701" ht="15.75" customHeight="1">
      <c r="I701" s="171"/>
      <c r="J701" s="171"/>
    </row>
    <row r="702" ht="15.75" customHeight="1">
      <c r="I702" s="171"/>
      <c r="J702" s="171"/>
    </row>
    <row r="703" ht="15.75" customHeight="1">
      <c r="I703" s="171"/>
      <c r="J703" s="171"/>
    </row>
    <row r="704" ht="15.75" customHeight="1">
      <c r="I704" s="171"/>
      <c r="J704" s="171"/>
    </row>
    <row r="705" ht="15.75" customHeight="1">
      <c r="I705" s="171"/>
      <c r="J705" s="171"/>
    </row>
    <row r="706" ht="15.75" customHeight="1">
      <c r="I706" s="171"/>
      <c r="J706" s="171"/>
    </row>
    <row r="707" ht="15.75" customHeight="1">
      <c r="I707" s="171"/>
      <c r="J707" s="171"/>
    </row>
    <row r="708" ht="15.75" customHeight="1">
      <c r="I708" s="171"/>
      <c r="J708" s="171"/>
    </row>
    <row r="709" ht="15.75" customHeight="1">
      <c r="I709" s="171"/>
      <c r="J709" s="171"/>
    </row>
    <row r="710" ht="15.75" customHeight="1">
      <c r="I710" s="171"/>
      <c r="J710" s="171"/>
    </row>
    <row r="711" ht="15.75" customHeight="1">
      <c r="I711" s="171"/>
      <c r="J711" s="171"/>
    </row>
    <row r="712" ht="15.75" customHeight="1">
      <c r="I712" s="171"/>
      <c r="J712" s="171"/>
    </row>
    <row r="713" ht="15.75" customHeight="1">
      <c r="I713" s="171"/>
      <c r="J713" s="171"/>
    </row>
    <row r="714" ht="15.75" customHeight="1">
      <c r="I714" s="171"/>
      <c r="J714" s="171"/>
    </row>
    <row r="715" ht="15.75" customHeight="1">
      <c r="I715" s="171"/>
      <c r="J715" s="171"/>
    </row>
    <row r="716" ht="15.75" customHeight="1">
      <c r="I716" s="171"/>
      <c r="J716" s="171"/>
    </row>
    <row r="717" ht="15.75" customHeight="1">
      <c r="I717" s="171"/>
      <c r="J717" s="171"/>
    </row>
    <row r="718" ht="15.75" customHeight="1">
      <c r="I718" s="171"/>
      <c r="J718" s="171"/>
    </row>
    <row r="719" ht="15.75" customHeight="1">
      <c r="I719" s="171"/>
      <c r="J719" s="171"/>
    </row>
    <row r="720" ht="15.75" customHeight="1">
      <c r="I720" s="171"/>
      <c r="J720" s="171"/>
    </row>
    <row r="721" ht="15.75" customHeight="1">
      <c r="I721" s="171"/>
      <c r="J721" s="171"/>
    </row>
    <row r="722" ht="15.75" customHeight="1">
      <c r="I722" s="171"/>
      <c r="J722" s="171"/>
    </row>
    <row r="723" ht="15.75" customHeight="1">
      <c r="I723" s="171"/>
      <c r="J723" s="171"/>
    </row>
    <row r="724" ht="15.75" customHeight="1">
      <c r="I724" s="171"/>
      <c r="J724" s="171"/>
    </row>
    <row r="725" ht="15.75" customHeight="1">
      <c r="I725" s="171"/>
      <c r="J725" s="171"/>
    </row>
    <row r="726" ht="15.75" customHeight="1">
      <c r="I726" s="171"/>
      <c r="J726" s="171"/>
    </row>
    <row r="727" ht="15.75" customHeight="1">
      <c r="I727" s="171"/>
      <c r="J727" s="171"/>
    </row>
    <row r="728" ht="15.75" customHeight="1">
      <c r="I728" s="171"/>
      <c r="J728" s="171"/>
    </row>
    <row r="729" ht="15.75" customHeight="1">
      <c r="I729" s="171"/>
      <c r="J729" s="171"/>
    </row>
    <row r="730" ht="15.75" customHeight="1">
      <c r="I730" s="171"/>
      <c r="J730" s="171"/>
    </row>
    <row r="731" ht="15.75" customHeight="1">
      <c r="I731" s="171"/>
      <c r="J731" s="171"/>
    </row>
    <row r="732" ht="15.75" customHeight="1">
      <c r="I732" s="171"/>
      <c r="J732" s="171"/>
    </row>
    <row r="733" ht="15.75" customHeight="1">
      <c r="I733" s="171"/>
      <c r="J733" s="171"/>
    </row>
    <row r="734" ht="15.75" customHeight="1">
      <c r="I734" s="171"/>
      <c r="J734" s="171"/>
    </row>
    <row r="735" ht="15.75" customHeight="1">
      <c r="I735" s="171"/>
      <c r="J735" s="171"/>
    </row>
    <row r="736" ht="15.75" customHeight="1">
      <c r="I736" s="171"/>
      <c r="J736" s="171"/>
    </row>
    <row r="737" ht="15.75" customHeight="1">
      <c r="I737" s="171"/>
      <c r="J737" s="171"/>
    </row>
    <row r="738" ht="15.75" customHeight="1">
      <c r="I738" s="171"/>
      <c r="J738" s="171"/>
    </row>
    <row r="739" ht="15.75" customHeight="1">
      <c r="I739" s="171"/>
      <c r="J739" s="171"/>
    </row>
    <row r="740" ht="15.75" customHeight="1">
      <c r="I740" s="171"/>
      <c r="J740" s="171"/>
    </row>
    <row r="741" ht="15.75" customHeight="1">
      <c r="I741" s="171"/>
      <c r="J741" s="171"/>
    </row>
    <row r="742" ht="15.75" customHeight="1">
      <c r="I742" s="171"/>
      <c r="J742" s="171"/>
    </row>
    <row r="743" ht="15.75" customHeight="1">
      <c r="I743" s="171"/>
      <c r="J743" s="171"/>
    </row>
    <row r="744" ht="15.75" customHeight="1">
      <c r="I744" s="171"/>
      <c r="J744" s="171"/>
    </row>
    <row r="745" ht="15.75" customHeight="1">
      <c r="I745" s="171"/>
      <c r="J745" s="171"/>
    </row>
    <row r="746" ht="15.75" customHeight="1">
      <c r="I746" s="171"/>
      <c r="J746" s="171"/>
    </row>
    <row r="747" ht="15.75" customHeight="1">
      <c r="I747" s="171"/>
      <c r="J747" s="171"/>
    </row>
    <row r="748" ht="15.75" customHeight="1">
      <c r="I748" s="171"/>
      <c r="J748" s="171"/>
    </row>
    <row r="749" ht="15.75" customHeight="1">
      <c r="I749" s="171"/>
      <c r="J749" s="171"/>
    </row>
    <row r="750" ht="15.75" customHeight="1">
      <c r="I750" s="171"/>
      <c r="J750" s="171"/>
    </row>
    <row r="751" ht="15.75" customHeight="1">
      <c r="I751" s="171"/>
      <c r="J751" s="171"/>
    </row>
    <row r="752" ht="15.75" customHeight="1">
      <c r="I752" s="171"/>
      <c r="J752" s="171"/>
    </row>
    <row r="753" ht="15.75" customHeight="1">
      <c r="I753" s="171"/>
      <c r="J753" s="171"/>
    </row>
    <row r="754" ht="15.75" customHeight="1">
      <c r="I754" s="171"/>
      <c r="J754" s="171"/>
    </row>
    <row r="755" ht="15.75" customHeight="1">
      <c r="I755" s="171"/>
      <c r="J755" s="171"/>
    </row>
    <row r="756" ht="15.75" customHeight="1">
      <c r="I756" s="171"/>
      <c r="J756" s="171"/>
    </row>
    <row r="757" ht="15.75" customHeight="1">
      <c r="I757" s="171"/>
      <c r="J757" s="171"/>
    </row>
    <row r="758" ht="15.75" customHeight="1">
      <c r="I758" s="171"/>
      <c r="J758" s="171"/>
    </row>
    <row r="759" ht="15.75" customHeight="1">
      <c r="I759" s="171"/>
      <c r="J759" s="171"/>
    </row>
    <row r="760" ht="15.75" customHeight="1">
      <c r="I760" s="171"/>
      <c r="J760" s="171"/>
    </row>
    <row r="761" ht="15.75" customHeight="1">
      <c r="I761" s="171"/>
      <c r="J761" s="171"/>
    </row>
    <row r="762" ht="15.75" customHeight="1">
      <c r="I762" s="171"/>
      <c r="J762" s="171"/>
    </row>
    <row r="763" ht="15.75" customHeight="1">
      <c r="I763" s="171"/>
      <c r="J763" s="171"/>
    </row>
    <row r="764" ht="15.75" customHeight="1">
      <c r="I764" s="171"/>
      <c r="J764" s="171"/>
    </row>
    <row r="765" ht="15.75" customHeight="1">
      <c r="I765" s="171"/>
      <c r="J765" s="171"/>
    </row>
    <row r="766" ht="15.75" customHeight="1">
      <c r="I766" s="171"/>
      <c r="J766" s="171"/>
    </row>
    <row r="767" ht="15.75" customHeight="1">
      <c r="I767" s="171"/>
      <c r="J767" s="171"/>
    </row>
    <row r="768" ht="15.75" customHeight="1">
      <c r="I768" s="171"/>
      <c r="J768" s="171"/>
    </row>
    <row r="769" ht="15.75" customHeight="1">
      <c r="I769" s="171"/>
      <c r="J769" s="171"/>
    </row>
    <row r="770" ht="15.75" customHeight="1">
      <c r="I770" s="171"/>
      <c r="J770" s="171"/>
    </row>
    <row r="771" ht="15.75" customHeight="1">
      <c r="I771" s="171"/>
      <c r="J771" s="171"/>
    </row>
    <row r="772" ht="15.75" customHeight="1">
      <c r="I772" s="171"/>
      <c r="J772" s="171"/>
    </row>
    <row r="773" ht="15.75" customHeight="1">
      <c r="I773" s="171"/>
      <c r="J773" s="171"/>
    </row>
    <row r="774" ht="15.75" customHeight="1">
      <c r="I774" s="171"/>
      <c r="J774" s="171"/>
    </row>
    <row r="775" ht="15.75" customHeight="1">
      <c r="I775" s="171"/>
      <c r="J775" s="171"/>
    </row>
    <row r="776" ht="15.75" customHeight="1">
      <c r="I776" s="171"/>
      <c r="J776" s="171"/>
    </row>
    <row r="777" ht="15.75" customHeight="1">
      <c r="I777" s="171"/>
      <c r="J777" s="171"/>
    </row>
    <row r="778" ht="15.75" customHeight="1">
      <c r="I778" s="171"/>
      <c r="J778" s="171"/>
    </row>
    <row r="779" ht="15.75" customHeight="1">
      <c r="I779" s="171"/>
      <c r="J779" s="171"/>
    </row>
    <row r="780" ht="15.75" customHeight="1">
      <c r="I780" s="171"/>
      <c r="J780" s="171"/>
    </row>
    <row r="781" ht="15.75" customHeight="1">
      <c r="I781" s="171"/>
      <c r="J781" s="171"/>
    </row>
    <row r="782" ht="15.75" customHeight="1">
      <c r="I782" s="171"/>
      <c r="J782" s="171"/>
    </row>
    <row r="783" ht="15.75" customHeight="1">
      <c r="I783" s="171"/>
      <c r="J783" s="171"/>
    </row>
    <row r="784" ht="15.75" customHeight="1">
      <c r="I784" s="171"/>
      <c r="J784" s="171"/>
    </row>
    <row r="785" ht="15.75" customHeight="1">
      <c r="I785" s="171"/>
      <c r="J785" s="171"/>
    </row>
    <row r="786" ht="15.75" customHeight="1">
      <c r="I786" s="171"/>
      <c r="J786" s="171"/>
    </row>
    <row r="787" ht="15.75" customHeight="1">
      <c r="I787" s="171"/>
      <c r="J787" s="171"/>
    </row>
    <row r="788" ht="15.75" customHeight="1">
      <c r="I788" s="171"/>
      <c r="J788" s="171"/>
    </row>
    <row r="789" ht="15.75" customHeight="1">
      <c r="I789" s="171"/>
      <c r="J789" s="171"/>
    </row>
    <row r="790" ht="15.75" customHeight="1">
      <c r="I790" s="171"/>
      <c r="J790" s="171"/>
    </row>
    <row r="791" ht="15.75" customHeight="1">
      <c r="I791" s="171"/>
      <c r="J791" s="171"/>
    </row>
    <row r="792" ht="15.75" customHeight="1">
      <c r="I792" s="171"/>
      <c r="J792" s="171"/>
    </row>
    <row r="793" ht="15.75" customHeight="1">
      <c r="I793" s="171"/>
      <c r="J793" s="171"/>
    </row>
    <row r="794" ht="15.75" customHeight="1">
      <c r="I794" s="171"/>
      <c r="J794" s="171"/>
    </row>
    <row r="795" ht="15.75" customHeight="1">
      <c r="I795" s="171"/>
      <c r="J795" s="171"/>
    </row>
    <row r="796" ht="15.75" customHeight="1">
      <c r="I796" s="171"/>
      <c r="J796" s="171"/>
    </row>
    <row r="797" ht="15.75" customHeight="1">
      <c r="I797" s="171"/>
      <c r="J797" s="171"/>
    </row>
    <row r="798" ht="15.75" customHeight="1">
      <c r="I798" s="171"/>
      <c r="J798" s="171"/>
    </row>
    <row r="799" ht="15.75" customHeight="1">
      <c r="I799" s="171"/>
      <c r="J799" s="171"/>
    </row>
    <row r="800" ht="15.75" customHeight="1">
      <c r="I800" s="171"/>
      <c r="J800" s="171"/>
    </row>
    <row r="801" ht="15.75" customHeight="1">
      <c r="I801" s="171"/>
      <c r="J801" s="171"/>
    </row>
    <row r="802" ht="15.75" customHeight="1">
      <c r="I802" s="171"/>
      <c r="J802" s="171"/>
    </row>
    <row r="803" ht="15.75" customHeight="1">
      <c r="I803" s="171"/>
      <c r="J803" s="171"/>
    </row>
    <row r="804" ht="15.75" customHeight="1">
      <c r="I804" s="171"/>
      <c r="J804" s="171"/>
    </row>
    <row r="805" ht="15.75" customHeight="1">
      <c r="I805" s="171"/>
      <c r="J805" s="171"/>
    </row>
    <row r="806" ht="15.75" customHeight="1">
      <c r="I806" s="171"/>
      <c r="J806" s="171"/>
    </row>
    <row r="807" ht="15.75" customHeight="1">
      <c r="I807" s="171"/>
      <c r="J807" s="171"/>
    </row>
    <row r="808" ht="15.75" customHeight="1">
      <c r="I808" s="171"/>
      <c r="J808" s="171"/>
    </row>
    <row r="809" ht="15.75" customHeight="1">
      <c r="I809" s="171"/>
      <c r="J809" s="171"/>
    </row>
    <row r="810" ht="15.75" customHeight="1">
      <c r="I810" s="171"/>
      <c r="J810" s="171"/>
    </row>
    <row r="811" ht="15.75" customHeight="1">
      <c r="I811" s="171"/>
      <c r="J811" s="171"/>
    </row>
    <row r="812" ht="15.75" customHeight="1">
      <c r="I812" s="171"/>
      <c r="J812" s="171"/>
    </row>
    <row r="813" ht="15.75" customHeight="1">
      <c r="I813" s="171"/>
      <c r="J813" s="171"/>
    </row>
    <row r="814" ht="15.75" customHeight="1">
      <c r="I814" s="171"/>
      <c r="J814" s="171"/>
    </row>
    <row r="815" ht="15.75" customHeight="1">
      <c r="I815" s="171"/>
      <c r="J815" s="171"/>
    </row>
    <row r="816" ht="15.75" customHeight="1">
      <c r="I816" s="171"/>
      <c r="J816" s="171"/>
    </row>
    <row r="817" ht="15.75" customHeight="1">
      <c r="I817" s="171"/>
      <c r="J817" s="171"/>
    </row>
    <row r="818" ht="15.75" customHeight="1">
      <c r="I818" s="171"/>
      <c r="J818" s="171"/>
    </row>
    <row r="819" ht="15.75" customHeight="1">
      <c r="I819" s="171"/>
      <c r="J819" s="171"/>
    </row>
    <row r="820" ht="15.75" customHeight="1">
      <c r="I820" s="171"/>
      <c r="J820" s="171"/>
    </row>
    <row r="821" ht="15.75" customHeight="1">
      <c r="I821" s="171"/>
      <c r="J821" s="171"/>
    </row>
    <row r="822" ht="15.75" customHeight="1">
      <c r="I822" s="171"/>
      <c r="J822" s="171"/>
    </row>
    <row r="823" ht="15.75" customHeight="1">
      <c r="I823" s="171"/>
      <c r="J823" s="171"/>
    </row>
    <row r="824" ht="15.75" customHeight="1">
      <c r="I824" s="171"/>
      <c r="J824" s="171"/>
    </row>
    <row r="825" ht="15.75" customHeight="1">
      <c r="I825" s="171"/>
      <c r="J825" s="171"/>
    </row>
    <row r="826" ht="15.75" customHeight="1">
      <c r="I826" s="171"/>
      <c r="J826" s="171"/>
    </row>
    <row r="827" ht="15.75" customHeight="1">
      <c r="I827" s="171"/>
      <c r="J827" s="171"/>
    </row>
    <row r="828" ht="15.75" customHeight="1">
      <c r="I828" s="171"/>
      <c r="J828" s="171"/>
    </row>
    <row r="829" ht="15.75" customHeight="1">
      <c r="I829" s="171"/>
      <c r="J829" s="171"/>
    </row>
    <row r="830" ht="15.75" customHeight="1">
      <c r="I830" s="171"/>
      <c r="J830" s="171"/>
    </row>
    <row r="831" ht="15.75" customHeight="1">
      <c r="I831" s="171"/>
      <c r="J831" s="171"/>
    </row>
    <row r="832" ht="15.75" customHeight="1">
      <c r="I832" s="171"/>
      <c r="J832" s="171"/>
    </row>
    <row r="833" ht="15.75" customHeight="1">
      <c r="I833" s="171"/>
      <c r="J833" s="171"/>
    </row>
    <row r="834" ht="15.75" customHeight="1">
      <c r="I834" s="171"/>
      <c r="J834" s="171"/>
    </row>
    <row r="835" ht="15.75" customHeight="1">
      <c r="I835" s="171"/>
      <c r="J835" s="171"/>
    </row>
    <row r="836" ht="15.75" customHeight="1">
      <c r="I836" s="171"/>
      <c r="J836" s="171"/>
    </row>
    <row r="837" ht="15.75" customHeight="1">
      <c r="I837" s="171"/>
      <c r="J837" s="171"/>
    </row>
    <row r="838" ht="15.75" customHeight="1">
      <c r="I838" s="171"/>
      <c r="J838" s="171"/>
    </row>
    <row r="839" ht="15.75" customHeight="1">
      <c r="I839" s="171"/>
      <c r="J839" s="171"/>
    </row>
    <row r="840" ht="15.75" customHeight="1">
      <c r="I840" s="171"/>
      <c r="J840" s="171"/>
    </row>
    <row r="841" ht="15.75" customHeight="1">
      <c r="I841" s="171"/>
      <c r="J841" s="171"/>
    </row>
    <row r="842" ht="15.75" customHeight="1">
      <c r="I842" s="171"/>
      <c r="J842" s="171"/>
    </row>
    <row r="843" ht="15.75" customHeight="1">
      <c r="I843" s="171"/>
      <c r="J843" s="171"/>
    </row>
    <row r="844" ht="15.75" customHeight="1">
      <c r="I844" s="171"/>
      <c r="J844" s="171"/>
    </row>
    <row r="845" ht="15.75" customHeight="1">
      <c r="I845" s="171"/>
      <c r="J845" s="171"/>
    </row>
    <row r="846" ht="15.75" customHeight="1">
      <c r="I846" s="171"/>
      <c r="J846" s="171"/>
    </row>
    <row r="847" ht="15.75" customHeight="1">
      <c r="I847" s="171"/>
      <c r="J847" s="171"/>
    </row>
    <row r="848" ht="15.75" customHeight="1">
      <c r="I848" s="171"/>
      <c r="J848" s="171"/>
    </row>
    <row r="849" ht="15.75" customHeight="1">
      <c r="I849" s="171"/>
      <c r="J849" s="171"/>
    </row>
    <row r="850" ht="15.75" customHeight="1">
      <c r="I850" s="171"/>
      <c r="J850" s="171"/>
    </row>
    <row r="851" ht="15.75" customHeight="1">
      <c r="I851" s="171"/>
      <c r="J851" s="171"/>
    </row>
    <row r="852" ht="15.75" customHeight="1">
      <c r="I852" s="171"/>
      <c r="J852" s="171"/>
    </row>
    <row r="853" ht="15.75" customHeight="1">
      <c r="I853" s="171"/>
      <c r="J853" s="171"/>
    </row>
    <row r="854" ht="15.75" customHeight="1">
      <c r="I854" s="171"/>
      <c r="J854" s="171"/>
    </row>
    <row r="855" ht="15.75" customHeight="1">
      <c r="I855" s="171"/>
      <c r="J855" s="171"/>
    </row>
    <row r="856" ht="15.75" customHeight="1">
      <c r="I856" s="171"/>
      <c r="J856" s="171"/>
    </row>
    <row r="857" ht="15.75" customHeight="1">
      <c r="I857" s="171"/>
      <c r="J857" s="171"/>
    </row>
    <row r="858" ht="15.75" customHeight="1">
      <c r="I858" s="171"/>
      <c r="J858" s="171"/>
    </row>
    <row r="859" ht="15.75" customHeight="1">
      <c r="I859" s="171"/>
      <c r="J859" s="171"/>
    </row>
    <row r="860" ht="15.75" customHeight="1">
      <c r="I860" s="171"/>
      <c r="J860" s="171"/>
    </row>
    <row r="861" ht="15.75" customHeight="1">
      <c r="I861" s="171"/>
      <c r="J861" s="171"/>
    </row>
    <row r="862" ht="15.75" customHeight="1">
      <c r="I862" s="171"/>
      <c r="J862" s="171"/>
    </row>
    <row r="863" ht="15.75" customHeight="1">
      <c r="I863" s="171"/>
      <c r="J863" s="171"/>
    </row>
    <row r="864" ht="15.75" customHeight="1">
      <c r="I864" s="171"/>
      <c r="J864" s="171"/>
    </row>
    <row r="865" ht="15.75" customHeight="1">
      <c r="I865" s="171"/>
      <c r="J865" s="171"/>
    </row>
    <row r="866" ht="15.75" customHeight="1">
      <c r="I866" s="171"/>
      <c r="J866" s="171"/>
    </row>
    <row r="867" ht="15.75" customHeight="1">
      <c r="I867" s="171"/>
      <c r="J867" s="171"/>
    </row>
    <row r="868" ht="15.75" customHeight="1">
      <c r="I868" s="171"/>
      <c r="J868" s="171"/>
    </row>
    <row r="869" ht="15.75" customHeight="1">
      <c r="I869" s="171"/>
      <c r="J869" s="171"/>
    </row>
    <row r="870" ht="15.75" customHeight="1">
      <c r="I870" s="171"/>
      <c r="J870" s="171"/>
    </row>
    <row r="871" ht="15.75" customHeight="1">
      <c r="I871" s="171"/>
      <c r="J871" s="171"/>
    </row>
    <row r="872" ht="15.75" customHeight="1">
      <c r="I872" s="171"/>
      <c r="J872" s="171"/>
    </row>
    <row r="873" ht="15.75" customHeight="1">
      <c r="I873" s="171"/>
      <c r="J873" s="171"/>
    </row>
    <row r="874" ht="15.75" customHeight="1">
      <c r="I874" s="171"/>
      <c r="J874" s="171"/>
    </row>
    <row r="875" ht="15.75" customHeight="1">
      <c r="I875" s="171"/>
      <c r="J875" s="171"/>
    </row>
    <row r="876" ht="15.75" customHeight="1">
      <c r="I876" s="171"/>
      <c r="J876" s="171"/>
    </row>
    <row r="877" ht="15.75" customHeight="1">
      <c r="I877" s="171"/>
      <c r="J877" s="171"/>
    </row>
    <row r="878" ht="15.75" customHeight="1">
      <c r="I878" s="171"/>
      <c r="J878" s="171"/>
    </row>
    <row r="879" ht="15.75" customHeight="1">
      <c r="I879" s="171"/>
      <c r="J879" s="171"/>
    </row>
    <row r="880" ht="15.75" customHeight="1">
      <c r="I880" s="171"/>
      <c r="J880" s="171"/>
    </row>
    <row r="881" ht="15.75" customHeight="1">
      <c r="I881" s="171"/>
      <c r="J881" s="171"/>
    </row>
    <row r="882" ht="15.75" customHeight="1">
      <c r="I882" s="171"/>
      <c r="J882" s="171"/>
    </row>
    <row r="883" ht="15.75" customHeight="1">
      <c r="I883" s="171"/>
      <c r="J883" s="171"/>
    </row>
    <row r="884" ht="15.75" customHeight="1">
      <c r="I884" s="171"/>
      <c r="J884" s="171"/>
    </row>
    <row r="885" ht="15.75" customHeight="1">
      <c r="I885" s="171"/>
      <c r="J885" s="171"/>
    </row>
    <row r="886" ht="15.75" customHeight="1">
      <c r="I886" s="171"/>
      <c r="J886" s="171"/>
    </row>
    <row r="887" ht="15.75" customHeight="1">
      <c r="I887" s="171"/>
      <c r="J887" s="171"/>
    </row>
    <row r="888" ht="15.75" customHeight="1">
      <c r="I888" s="171"/>
      <c r="J888" s="171"/>
    </row>
    <row r="889" ht="15.75" customHeight="1">
      <c r="I889" s="171"/>
      <c r="J889" s="171"/>
    </row>
    <row r="890" ht="15.75" customHeight="1">
      <c r="I890" s="171"/>
      <c r="J890" s="171"/>
    </row>
    <row r="891" ht="15.75" customHeight="1">
      <c r="I891" s="171"/>
      <c r="J891" s="171"/>
    </row>
    <row r="892" ht="15.75" customHeight="1">
      <c r="I892" s="171"/>
      <c r="J892" s="171"/>
    </row>
    <row r="893" ht="15.75" customHeight="1">
      <c r="I893" s="171"/>
      <c r="J893" s="171"/>
    </row>
    <row r="894" ht="15.75" customHeight="1">
      <c r="I894" s="171"/>
      <c r="J894" s="171"/>
    </row>
    <row r="895" ht="15.75" customHeight="1">
      <c r="I895" s="171"/>
      <c r="J895" s="171"/>
    </row>
    <row r="896" ht="15.75" customHeight="1">
      <c r="I896" s="171"/>
      <c r="J896" s="171"/>
    </row>
    <row r="897" ht="15.75" customHeight="1">
      <c r="I897" s="171"/>
      <c r="J897" s="171"/>
    </row>
    <row r="898" ht="15.75" customHeight="1">
      <c r="I898" s="171"/>
      <c r="J898" s="171"/>
    </row>
    <row r="899" ht="15.75" customHeight="1">
      <c r="I899" s="171"/>
      <c r="J899" s="171"/>
    </row>
    <row r="900" ht="15.75" customHeight="1">
      <c r="I900" s="171"/>
      <c r="J900" s="171"/>
    </row>
    <row r="901" ht="15.75" customHeight="1">
      <c r="I901" s="171"/>
      <c r="J901" s="171"/>
    </row>
    <row r="902" ht="15.75" customHeight="1">
      <c r="I902" s="171"/>
      <c r="J902" s="171"/>
    </row>
    <row r="903" ht="15.75" customHeight="1">
      <c r="I903" s="171"/>
      <c r="J903" s="171"/>
    </row>
    <row r="904" ht="15.75" customHeight="1">
      <c r="I904" s="171"/>
      <c r="J904" s="171"/>
    </row>
    <row r="905" ht="15.75" customHeight="1">
      <c r="I905" s="171"/>
      <c r="J905" s="171"/>
    </row>
    <row r="906" ht="15.75" customHeight="1">
      <c r="I906" s="171"/>
      <c r="J906" s="171"/>
    </row>
    <row r="907" ht="15.75" customHeight="1">
      <c r="I907" s="171"/>
      <c r="J907" s="171"/>
    </row>
    <row r="908" ht="15.75" customHeight="1">
      <c r="I908" s="171"/>
      <c r="J908" s="171"/>
    </row>
    <row r="909" ht="15.75" customHeight="1">
      <c r="I909" s="171"/>
      <c r="J909" s="171"/>
    </row>
    <row r="910" ht="15.75" customHeight="1">
      <c r="I910" s="171"/>
      <c r="J910" s="171"/>
    </row>
    <row r="911" ht="15.75" customHeight="1">
      <c r="I911" s="171"/>
      <c r="J911" s="171"/>
    </row>
    <row r="912" ht="15.75" customHeight="1">
      <c r="I912" s="171"/>
      <c r="J912" s="171"/>
    </row>
    <row r="913" ht="15.75" customHeight="1">
      <c r="I913" s="171"/>
      <c r="J913" s="171"/>
    </row>
    <row r="914" ht="15.75" customHeight="1">
      <c r="I914" s="171"/>
      <c r="J914" s="171"/>
    </row>
    <row r="915" ht="15.75" customHeight="1">
      <c r="I915" s="171"/>
      <c r="J915" s="171"/>
    </row>
    <row r="916" ht="15.75" customHeight="1">
      <c r="I916" s="171"/>
      <c r="J916" s="171"/>
    </row>
    <row r="917" ht="15.75" customHeight="1">
      <c r="I917" s="171"/>
      <c r="J917" s="171"/>
    </row>
    <row r="918" ht="15.75" customHeight="1">
      <c r="I918" s="171"/>
      <c r="J918" s="171"/>
    </row>
    <row r="919" ht="15.75" customHeight="1">
      <c r="I919" s="171"/>
      <c r="J919" s="171"/>
    </row>
    <row r="920" ht="15.75" customHeight="1">
      <c r="I920" s="171"/>
      <c r="J920" s="171"/>
    </row>
    <row r="921" ht="15.75" customHeight="1">
      <c r="I921" s="171"/>
      <c r="J921" s="171"/>
    </row>
    <row r="922" ht="15.75" customHeight="1">
      <c r="I922" s="171"/>
      <c r="J922" s="171"/>
    </row>
    <row r="923" ht="15.75" customHeight="1">
      <c r="I923" s="171"/>
      <c r="J923" s="171"/>
    </row>
    <row r="924" ht="15.75" customHeight="1">
      <c r="I924" s="171"/>
      <c r="J924" s="171"/>
    </row>
    <row r="925" ht="15.75" customHeight="1">
      <c r="I925" s="171"/>
      <c r="J925" s="171"/>
    </row>
    <row r="926" ht="15.75" customHeight="1">
      <c r="I926" s="171"/>
      <c r="J926" s="171"/>
    </row>
    <row r="927" ht="15.75" customHeight="1">
      <c r="I927" s="171"/>
      <c r="J927" s="171"/>
    </row>
    <row r="928" ht="15.75" customHeight="1">
      <c r="I928" s="171"/>
      <c r="J928" s="171"/>
    </row>
    <row r="929" ht="15.75" customHeight="1">
      <c r="I929" s="171"/>
      <c r="J929" s="171"/>
    </row>
    <row r="930" ht="15.75" customHeight="1">
      <c r="I930" s="171"/>
      <c r="J930" s="171"/>
    </row>
    <row r="931" ht="15.75" customHeight="1">
      <c r="I931" s="171"/>
      <c r="J931" s="171"/>
    </row>
    <row r="932" ht="15.75" customHeight="1">
      <c r="I932" s="171"/>
      <c r="J932" s="171"/>
    </row>
    <row r="933" ht="15.75" customHeight="1">
      <c r="I933" s="171"/>
      <c r="J933" s="171"/>
    </row>
    <row r="934" ht="15.75" customHeight="1">
      <c r="I934" s="171"/>
      <c r="J934" s="171"/>
    </row>
    <row r="935" ht="15.75" customHeight="1">
      <c r="I935" s="171"/>
      <c r="J935" s="171"/>
    </row>
    <row r="936" ht="15.75" customHeight="1">
      <c r="I936" s="171"/>
      <c r="J936" s="171"/>
    </row>
    <row r="937" ht="15.75" customHeight="1">
      <c r="I937" s="171"/>
      <c r="J937" s="171"/>
    </row>
    <row r="938" ht="15.75" customHeight="1">
      <c r="I938" s="171"/>
      <c r="J938" s="171"/>
    </row>
    <row r="939" ht="15.75" customHeight="1">
      <c r="I939" s="171"/>
      <c r="J939" s="171"/>
    </row>
    <row r="940" ht="15.75" customHeight="1">
      <c r="I940" s="171"/>
      <c r="J940" s="171"/>
    </row>
    <row r="941" ht="15.75" customHeight="1">
      <c r="I941" s="171"/>
      <c r="J941" s="171"/>
    </row>
    <row r="942" ht="15.75" customHeight="1">
      <c r="I942" s="171"/>
      <c r="J942" s="171"/>
    </row>
    <row r="943" ht="15.75" customHeight="1">
      <c r="I943" s="171"/>
      <c r="J943" s="171"/>
    </row>
    <row r="944" ht="15.75" customHeight="1">
      <c r="I944" s="171"/>
      <c r="J944" s="171"/>
    </row>
    <row r="945" ht="15.75" customHeight="1">
      <c r="I945" s="171"/>
      <c r="J945" s="171"/>
    </row>
    <row r="946" ht="15.75" customHeight="1">
      <c r="I946" s="171"/>
      <c r="J946" s="171"/>
    </row>
    <row r="947" ht="15.75" customHeight="1">
      <c r="I947" s="171"/>
      <c r="J947" s="171"/>
    </row>
    <row r="948" ht="15.75" customHeight="1">
      <c r="I948" s="171"/>
      <c r="J948" s="171"/>
    </row>
    <row r="949" ht="15.75" customHeight="1">
      <c r="I949" s="171"/>
      <c r="J949" s="171"/>
    </row>
    <row r="950" ht="15.75" customHeight="1">
      <c r="I950" s="171"/>
      <c r="J950" s="171"/>
    </row>
    <row r="951" ht="15.75" customHeight="1">
      <c r="I951" s="171"/>
      <c r="J951" s="171"/>
    </row>
    <row r="952" ht="15.75" customHeight="1">
      <c r="I952" s="171"/>
      <c r="J952" s="171"/>
    </row>
    <row r="953" ht="15.75" customHeight="1">
      <c r="I953" s="171"/>
      <c r="J953" s="171"/>
    </row>
    <row r="954" ht="15.75" customHeight="1">
      <c r="I954" s="171"/>
      <c r="J954" s="171"/>
    </row>
    <row r="955" ht="15.75" customHeight="1">
      <c r="I955" s="171"/>
      <c r="J955" s="171"/>
    </row>
    <row r="956" ht="15.75" customHeight="1">
      <c r="I956" s="171"/>
      <c r="J956" s="171"/>
    </row>
    <row r="957" ht="15.75" customHeight="1">
      <c r="I957" s="171"/>
      <c r="J957" s="171"/>
    </row>
    <row r="958" ht="15.75" customHeight="1">
      <c r="I958" s="171"/>
      <c r="J958" s="171"/>
    </row>
    <row r="959" ht="15.75" customHeight="1">
      <c r="I959" s="171"/>
      <c r="J959" s="171"/>
    </row>
    <row r="960" ht="15.75" customHeight="1">
      <c r="I960" s="171"/>
      <c r="J960" s="171"/>
    </row>
    <row r="961" ht="15.75" customHeight="1">
      <c r="I961" s="171"/>
      <c r="J961" s="171"/>
    </row>
    <row r="962" ht="15.75" customHeight="1">
      <c r="I962" s="171"/>
      <c r="J962" s="171"/>
    </row>
    <row r="963" ht="15.75" customHeight="1">
      <c r="I963" s="171"/>
      <c r="J963" s="171"/>
    </row>
    <row r="964" ht="15.75" customHeight="1">
      <c r="I964" s="171"/>
      <c r="J964" s="171"/>
    </row>
    <row r="965" ht="15.75" customHeight="1">
      <c r="I965" s="171"/>
      <c r="J965" s="171"/>
    </row>
    <row r="966" ht="15.75" customHeight="1">
      <c r="I966" s="171"/>
      <c r="J966" s="171"/>
    </row>
    <row r="967" ht="15.75" customHeight="1">
      <c r="I967" s="171"/>
      <c r="J967" s="171"/>
    </row>
    <row r="968" ht="15.75" customHeight="1">
      <c r="I968" s="171"/>
      <c r="J968" s="171"/>
    </row>
    <row r="969" ht="15.75" customHeight="1">
      <c r="I969" s="171"/>
      <c r="J969" s="171"/>
    </row>
    <row r="970" ht="15.75" customHeight="1">
      <c r="I970" s="171"/>
      <c r="J970" s="171"/>
    </row>
    <row r="971" ht="15.75" customHeight="1">
      <c r="I971" s="171"/>
      <c r="J971" s="171"/>
    </row>
    <row r="972" ht="15.75" customHeight="1">
      <c r="I972" s="171"/>
      <c r="J972" s="171"/>
    </row>
    <row r="973" ht="15.75" customHeight="1">
      <c r="I973" s="171"/>
      <c r="J973" s="171"/>
    </row>
    <row r="974" ht="15.75" customHeight="1">
      <c r="I974" s="171"/>
      <c r="J974" s="171"/>
    </row>
    <row r="975" ht="15.75" customHeight="1">
      <c r="I975" s="171"/>
      <c r="J975" s="171"/>
    </row>
    <row r="976" ht="15.75" customHeight="1">
      <c r="I976" s="171"/>
      <c r="J976" s="171"/>
    </row>
    <row r="977" ht="15.75" customHeight="1">
      <c r="I977" s="171"/>
      <c r="J977" s="171"/>
    </row>
    <row r="978" ht="15.75" customHeight="1">
      <c r="I978" s="171"/>
      <c r="J978" s="171"/>
    </row>
    <row r="979" ht="15.75" customHeight="1">
      <c r="I979" s="171"/>
      <c r="J979" s="171"/>
    </row>
    <row r="980" ht="15.75" customHeight="1">
      <c r="I980" s="171"/>
      <c r="J980" s="171"/>
    </row>
    <row r="981" ht="15.75" customHeight="1">
      <c r="I981" s="171"/>
      <c r="J981" s="171"/>
    </row>
    <row r="982" ht="15.75" customHeight="1">
      <c r="I982" s="171"/>
      <c r="J982" s="171"/>
    </row>
    <row r="983" ht="15.75" customHeight="1">
      <c r="I983" s="171"/>
      <c r="J983" s="171"/>
    </row>
    <row r="984" ht="15.75" customHeight="1">
      <c r="I984" s="171"/>
      <c r="J984" s="171"/>
    </row>
    <row r="985" ht="15.75" customHeight="1">
      <c r="I985" s="171"/>
      <c r="J985" s="171"/>
    </row>
    <row r="986" ht="15.75" customHeight="1">
      <c r="I986" s="171"/>
      <c r="J986" s="171"/>
    </row>
    <row r="987" ht="15.75" customHeight="1">
      <c r="I987" s="171"/>
      <c r="J987" s="171"/>
    </row>
    <row r="988" ht="15.75" customHeight="1">
      <c r="I988" s="171"/>
      <c r="J988" s="171"/>
    </row>
    <row r="989" ht="15.75" customHeight="1">
      <c r="I989" s="171"/>
      <c r="J989" s="171"/>
    </row>
    <row r="990" ht="15.75" customHeight="1">
      <c r="I990" s="171"/>
      <c r="J990" s="171"/>
    </row>
    <row r="991" ht="15.75" customHeight="1">
      <c r="I991" s="171"/>
      <c r="J991" s="171"/>
    </row>
    <row r="992" ht="15.75" customHeight="1">
      <c r="I992" s="171"/>
      <c r="J992" s="171"/>
    </row>
    <row r="993" ht="15.75" customHeight="1">
      <c r="I993" s="171"/>
      <c r="J993" s="171"/>
    </row>
    <row r="994" ht="15.75" customHeight="1">
      <c r="I994" s="171"/>
      <c r="J994" s="171"/>
    </row>
    <row r="995" ht="15.75" customHeight="1">
      <c r="I995" s="171"/>
      <c r="J995" s="171"/>
    </row>
    <row r="996" ht="15.75" customHeight="1">
      <c r="I996" s="171"/>
      <c r="J996" s="171"/>
    </row>
    <row r="997" ht="15.75" customHeight="1">
      <c r="I997" s="171"/>
      <c r="J997" s="171"/>
    </row>
    <row r="998" ht="15.75" customHeight="1">
      <c r="I998" s="171"/>
      <c r="J998" s="171"/>
    </row>
    <row r="999" ht="15.75" customHeight="1">
      <c r="I999" s="171"/>
      <c r="J999" s="171"/>
    </row>
    <row r="1000" ht="15.75" customHeight="1">
      <c r="I1000" s="171"/>
      <c r="J1000" s="171"/>
    </row>
    <row r="1001" ht="15.75" customHeight="1">
      <c r="I1001" s="171"/>
      <c r="J1001" s="171"/>
    </row>
    <row r="1002" ht="15.75" customHeight="1">
      <c r="I1002" s="171"/>
      <c r="J1002" s="171"/>
    </row>
    <row r="1003" ht="15.75" customHeight="1">
      <c r="I1003" s="171"/>
      <c r="J1003" s="171"/>
    </row>
    <row r="1004" ht="15.75" customHeight="1">
      <c r="I1004" s="171"/>
      <c r="J1004" s="171"/>
    </row>
    <row r="1005" ht="15.75" customHeight="1">
      <c r="I1005" s="171"/>
      <c r="J1005" s="171"/>
    </row>
    <row r="1006" ht="15.75" customHeight="1"/>
  </sheetData>
  <mergeCells count="1">
    <mergeCell ref="A1:F1"/>
  </mergeCells>
  <conditionalFormatting sqref="F62:F79 F83">
    <cfRule type="cellIs" dxfId="0" priority="1" operator="lessThan">
      <formula>3</formula>
    </cfRule>
  </conditionalFormatting>
  <conditionalFormatting sqref="F62:F79 F83">
    <cfRule type="cellIs" dxfId="1" priority="2" operator="equal">
      <formula>3</formula>
    </cfRule>
  </conditionalFormatting>
  <conditionalFormatting sqref="F62:F79 F83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8.14"/>
    <col customWidth="1" min="3" max="3" width="46.29"/>
    <col customWidth="1" min="4" max="4" width="12.29"/>
    <col customWidth="1" min="5" max="5" width="10.86"/>
    <col customWidth="1" min="6" max="6" width="10.0"/>
    <col customWidth="1" hidden="1" min="7" max="7" width="30.0"/>
    <col customWidth="1" hidden="1" min="8" max="8" width="10.86"/>
    <col customWidth="1" min="9" max="9" width="22.43"/>
    <col customWidth="1" min="10" max="10" width="21.43"/>
    <col customWidth="1" min="11" max="11" width="18.29"/>
    <col customWidth="1" min="12" max="12" width="30.14"/>
    <col customWidth="1" min="13" max="13" width="27.86"/>
    <col customWidth="1" min="14" max="14" width="30.86"/>
    <col customWidth="1" min="15" max="16" width="73.86"/>
    <col customWidth="1" min="17" max="30" width="8.57"/>
  </cols>
  <sheetData>
    <row r="1" ht="18.75" customHeight="1">
      <c r="A1" s="2"/>
      <c r="B1" s="4"/>
      <c r="C1" s="4"/>
      <c r="D1" s="4"/>
      <c r="E1" s="4"/>
      <c r="F1" s="6"/>
      <c r="G1" s="11"/>
      <c r="H1" s="11"/>
      <c r="I1" s="15"/>
      <c r="J1" s="15"/>
      <c r="K1" s="15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40.5" customHeight="1">
      <c r="A2" s="11"/>
      <c r="B2" s="87" t="s">
        <v>2</v>
      </c>
      <c r="C2" s="87" t="s">
        <v>3</v>
      </c>
      <c r="D2" s="13" t="s">
        <v>4</v>
      </c>
      <c r="E2" s="13" t="s">
        <v>5</v>
      </c>
      <c r="F2" s="13" t="s">
        <v>6</v>
      </c>
      <c r="G2" s="214"/>
      <c r="H2" s="13"/>
      <c r="I2" s="215" t="s">
        <v>499</v>
      </c>
      <c r="J2" s="215" t="s">
        <v>502</v>
      </c>
      <c r="K2" s="215" t="s">
        <v>215</v>
      </c>
      <c r="L2" s="15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ht="13.5" customHeight="1">
      <c r="B3" s="204" t="s">
        <v>505</v>
      </c>
      <c r="C3" s="216"/>
      <c r="D3" s="216"/>
      <c r="E3" s="176"/>
      <c r="F3" s="45"/>
    </row>
    <row r="4" ht="13.5" customHeight="1">
      <c r="B4" s="28" t="s">
        <v>509</v>
      </c>
      <c r="C4" s="38" t="s">
        <v>433</v>
      </c>
      <c r="D4" s="36" t="s">
        <v>58</v>
      </c>
      <c r="E4" s="36">
        <v>5.0</v>
      </c>
      <c r="F4" s="36">
        <v>13.0</v>
      </c>
      <c r="I4" s="144" t="s">
        <v>510</v>
      </c>
      <c r="J4" s="217" t="s">
        <v>511</v>
      </c>
      <c r="K4" s="144" t="s">
        <v>513</v>
      </c>
    </row>
    <row r="5" ht="13.5" customHeight="1">
      <c r="B5" s="28" t="s">
        <v>514</v>
      </c>
      <c r="C5" s="38" t="s">
        <v>515</v>
      </c>
      <c r="D5" s="36" t="s">
        <v>58</v>
      </c>
      <c r="E5" s="36">
        <v>5.0</v>
      </c>
      <c r="F5" s="36">
        <v>13.0</v>
      </c>
      <c r="I5" s="144" t="s">
        <v>517</v>
      </c>
      <c r="J5" s="217" t="s">
        <v>518</v>
      </c>
    </row>
    <row r="6" ht="13.5" customHeight="1">
      <c r="B6" s="28" t="s">
        <v>27</v>
      </c>
      <c r="C6" s="52" t="s">
        <v>84</v>
      </c>
      <c r="D6" s="36" t="s">
        <v>58</v>
      </c>
      <c r="E6" s="36">
        <v>5.0</v>
      </c>
      <c r="F6" s="36">
        <v>13.0</v>
      </c>
      <c r="I6" s="144" t="s">
        <v>520</v>
      </c>
      <c r="J6" s="217" t="s">
        <v>521</v>
      </c>
      <c r="K6" s="144" t="s">
        <v>522</v>
      </c>
    </row>
    <row r="7" ht="13.5" customHeight="1">
      <c r="B7" s="28" t="s">
        <v>524</v>
      </c>
      <c r="C7" s="38" t="s">
        <v>525</v>
      </c>
      <c r="D7" s="36" t="s">
        <v>58</v>
      </c>
      <c r="E7" s="36">
        <v>5.0</v>
      </c>
      <c r="F7" s="36">
        <v>13.0</v>
      </c>
      <c r="I7" s="144" t="s">
        <v>526</v>
      </c>
      <c r="J7" s="217" t="s">
        <v>527</v>
      </c>
    </row>
    <row r="8" ht="13.5" customHeight="1">
      <c r="B8" s="28" t="s">
        <v>529</v>
      </c>
      <c r="C8" s="38" t="s">
        <v>384</v>
      </c>
      <c r="D8" s="36" t="s">
        <v>439</v>
      </c>
      <c r="E8" s="36">
        <v>5.0</v>
      </c>
      <c r="F8" s="36">
        <v>13.0</v>
      </c>
      <c r="I8" s="144" t="s">
        <v>520</v>
      </c>
      <c r="J8" s="217" t="s">
        <v>531</v>
      </c>
    </row>
    <row r="9" ht="13.5" customHeight="1"/>
    <row r="10" ht="13.5" customHeight="1">
      <c r="B10" s="172" t="s">
        <v>532</v>
      </c>
      <c r="C10" s="216"/>
      <c r="D10" s="176"/>
      <c r="E10" s="45"/>
      <c r="F10" s="45"/>
    </row>
    <row r="11" ht="13.5" customHeight="1">
      <c r="B11" s="28" t="s">
        <v>533</v>
      </c>
      <c r="C11" s="38" t="s">
        <v>433</v>
      </c>
      <c r="D11" s="36" t="s">
        <v>58</v>
      </c>
      <c r="E11" s="36">
        <v>5.0</v>
      </c>
      <c r="F11" s="36">
        <v>15.0</v>
      </c>
      <c r="I11" s="144" t="s">
        <v>520</v>
      </c>
      <c r="J11" s="218" t="s">
        <v>518</v>
      </c>
    </row>
    <row r="12" ht="13.5" customHeight="1">
      <c r="B12" s="28" t="s">
        <v>534</v>
      </c>
      <c r="C12" s="38" t="s">
        <v>120</v>
      </c>
      <c r="D12" s="36" t="s">
        <v>58</v>
      </c>
      <c r="E12" s="36">
        <v>5.0</v>
      </c>
      <c r="F12" s="36">
        <v>15.0</v>
      </c>
      <c r="I12" s="144" t="s">
        <v>520</v>
      </c>
      <c r="J12" s="218" t="s">
        <v>535</v>
      </c>
    </row>
    <row r="13" ht="13.5" customHeight="1">
      <c r="B13" s="94" t="s">
        <v>536</v>
      </c>
      <c r="C13" s="38" t="s">
        <v>537</v>
      </c>
      <c r="D13" s="36" t="s">
        <v>56</v>
      </c>
      <c r="E13" s="36">
        <v>5.0</v>
      </c>
      <c r="F13" s="36">
        <v>15.0</v>
      </c>
      <c r="I13" s="144" t="s">
        <v>538</v>
      </c>
      <c r="J13" s="218" t="s">
        <v>531</v>
      </c>
    </row>
    <row r="14" ht="13.5" customHeight="1">
      <c r="B14" s="94" t="s">
        <v>539</v>
      </c>
      <c r="C14" s="38" t="s">
        <v>540</v>
      </c>
      <c r="D14" s="36" t="s">
        <v>58</v>
      </c>
      <c r="E14" s="36">
        <v>5.0</v>
      </c>
      <c r="F14" s="36">
        <v>15.0</v>
      </c>
      <c r="I14" s="144" t="s">
        <v>510</v>
      </c>
      <c r="J14" s="218" t="s">
        <v>541</v>
      </c>
      <c r="K14" s="144"/>
    </row>
    <row r="15" ht="13.5" customHeight="1">
      <c r="B15" s="28" t="s">
        <v>542</v>
      </c>
      <c r="C15" s="38" t="s">
        <v>543</v>
      </c>
      <c r="D15" s="36" t="s">
        <v>58</v>
      </c>
      <c r="E15" s="36">
        <v>5.0</v>
      </c>
      <c r="F15" s="36">
        <v>15.0</v>
      </c>
      <c r="I15" s="144" t="s">
        <v>520</v>
      </c>
      <c r="J15" s="218" t="s">
        <v>521</v>
      </c>
      <c r="K15" s="144" t="s">
        <v>544</v>
      </c>
    </row>
    <row r="16" ht="13.5" customHeight="1">
      <c r="B16" s="176"/>
      <c r="C16" s="45"/>
      <c r="D16" s="176"/>
      <c r="E16" s="45"/>
      <c r="F16" s="45"/>
    </row>
    <row r="17" ht="13.5" customHeight="1">
      <c r="B17" s="219" t="s">
        <v>545</v>
      </c>
      <c r="C17" s="221"/>
      <c r="D17" s="176"/>
      <c r="E17" s="45"/>
      <c r="F17" s="45"/>
    </row>
    <row r="18" ht="13.5" customHeight="1">
      <c r="B18" s="44" t="s">
        <v>546</v>
      </c>
      <c r="C18" s="44" t="s">
        <v>547</v>
      </c>
      <c r="D18" s="36" t="s">
        <v>58</v>
      </c>
      <c r="E18" s="36">
        <v>5.0</v>
      </c>
      <c r="F18" s="36">
        <v>7.0</v>
      </c>
      <c r="I18" s="144" t="s">
        <v>520</v>
      </c>
      <c r="J18" s="223" t="s">
        <v>548</v>
      </c>
      <c r="K18" s="225">
        <v>0.7083333333333334</v>
      </c>
      <c r="L18" s="144" t="s">
        <v>550</v>
      </c>
    </row>
    <row r="19" ht="13.5" customHeight="1">
      <c r="B19" s="94" t="s">
        <v>551</v>
      </c>
      <c r="C19" s="52" t="s">
        <v>552</v>
      </c>
      <c r="D19" s="34" t="s">
        <v>58</v>
      </c>
      <c r="E19" s="36">
        <v>5.0</v>
      </c>
      <c r="F19" s="36">
        <v>7.0</v>
      </c>
      <c r="I19" s="144" t="s">
        <v>526</v>
      </c>
      <c r="J19" s="218" t="s">
        <v>553</v>
      </c>
    </row>
    <row r="20" ht="13.5" customHeight="1">
      <c r="B20" s="94" t="s">
        <v>554</v>
      </c>
      <c r="C20" s="229" t="s">
        <v>431</v>
      </c>
      <c r="D20" s="34" t="s">
        <v>41</v>
      </c>
      <c r="E20" s="36">
        <v>5.0</v>
      </c>
      <c r="F20" s="36">
        <v>7.0</v>
      </c>
      <c r="I20" s="144" t="s">
        <v>510</v>
      </c>
      <c r="J20" s="218" t="s">
        <v>521</v>
      </c>
      <c r="K20" s="225">
        <v>0.5</v>
      </c>
      <c r="L20" s="144" t="s">
        <v>555</v>
      </c>
    </row>
    <row r="21" ht="13.5" customHeight="1">
      <c r="B21" s="28" t="s">
        <v>556</v>
      </c>
      <c r="C21" s="229" t="s">
        <v>60</v>
      </c>
      <c r="D21" s="36" t="s">
        <v>56</v>
      </c>
      <c r="E21" s="36">
        <v>5.0</v>
      </c>
      <c r="F21" s="36">
        <v>7.0</v>
      </c>
      <c r="I21" s="144" t="s">
        <v>517</v>
      </c>
      <c r="J21" s="218" t="s">
        <v>541</v>
      </c>
      <c r="K21" s="225">
        <v>0.4166666666666667</v>
      </c>
    </row>
    <row r="22" ht="13.5" customHeight="1">
      <c r="B22" s="28" t="s">
        <v>557</v>
      </c>
      <c r="C22" s="229" t="s">
        <v>543</v>
      </c>
      <c r="D22" s="36" t="s">
        <v>58</v>
      </c>
      <c r="E22" s="36">
        <v>5.0</v>
      </c>
      <c r="F22" s="36">
        <v>7.0</v>
      </c>
      <c r="I22" s="144" t="s">
        <v>520</v>
      </c>
      <c r="J22" s="218" t="s">
        <v>518</v>
      </c>
      <c r="K22" s="225">
        <v>0.4583333333333333</v>
      </c>
    </row>
    <row r="23" ht="15.0" customHeight="1"/>
    <row r="24" ht="15.0" customHeight="1">
      <c r="B24" s="233" t="s">
        <v>558</v>
      </c>
      <c r="C24" s="234"/>
      <c r="D24" s="176"/>
      <c r="E24" s="45"/>
      <c r="F24" s="45"/>
    </row>
    <row r="25" ht="13.5" customHeight="1">
      <c r="B25" s="28" t="s">
        <v>559</v>
      </c>
      <c r="C25" s="38" t="s">
        <v>515</v>
      </c>
      <c r="D25" s="36" t="s">
        <v>56</v>
      </c>
      <c r="E25" s="36">
        <v>5.0</v>
      </c>
      <c r="F25" s="36">
        <v>15.0</v>
      </c>
      <c r="I25" s="144" t="s">
        <v>538</v>
      </c>
      <c r="J25" s="218" t="s">
        <v>518</v>
      </c>
    </row>
    <row r="26" ht="13.5" customHeight="1">
      <c r="B26" s="28" t="s">
        <v>560</v>
      </c>
      <c r="C26" s="38" t="s">
        <v>543</v>
      </c>
      <c r="D26" s="36" t="s">
        <v>58</v>
      </c>
      <c r="E26" s="36">
        <v>5.0</v>
      </c>
      <c r="F26" s="36">
        <v>15.0</v>
      </c>
      <c r="I26" s="144" t="s">
        <v>517</v>
      </c>
      <c r="J26" s="218" t="s">
        <v>561</v>
      </c>
      <c r="K26" s="225">
        <v>0.375</v>
      </c>
    </row>
    <row r="27" ht="15.75" customHeight="1">
      <c r="B27" s="28" t="s">
        <v>562</v>
      </c>
      <c r="C27" s="38" t="s">
        <v>148</v>
      </c>
      <c r="D27" s="36" t="s">
        <v>58</v>
      </c>
      <c r="E27" s="36">
        <v>5.0</v>
      </c>
      <c r="F27" s="36">
        <v>15.0</v>
      </c>
      <c r="I27" s="144" t="s">
        <v>520</v>
      </c>
      <c r="J27" s="218" t="s">
        <v>521</v>
      </c>
    </row>
    <row r="28" ht="13.5" customHeight="1">
      <c r="B28" s="235" t="s">
        <v>563</v>
      </c>
      <c r="C28" s="38" t="s">
        <v>433</v>
      </c>
      <c r="D28" s="36" t="s">
        <v>58</v>
      </c>
      <c r="E28" s="36">
        <v>5.0</v>
      </c>
      <c r="F28" s="36">
        <v>15.0</v>
      </c>
      <c r="I28" s="144" t="s">
        <v>510</v>
      </c>
      <c r="J28" s="218" t="s">
        <v>531</v>
      </c>
      <c r="K28" s="225">
        <v>0.5</v>
      </c>
    </row>
    <row r="29" ht="13.5" customHeight="1">
      <c r="B29" s="28" t="s">
        <v>564</v>
      </c>
      <c r="C29" s="38" t="s">
        <v>565</v>
      </c>
      <c r="D29" s="36" t="s">
        <v>58</v>
      </c>
      <c r="E29" s="36">
        <v>4.0</v>
      </c>
      <c r="F29" s="36">
        <v>15.0</v>
      </c>
      <c r="I29" s="144" t="s">
        <v>520</v>
      </c>
      <c r="J29" s="218" t="s">
        <v>566</v>
      </c>
    </row>
    <row r="30" ht="15.0" customHeight="1">
      <c r="B30" s="176"/>
      <c r="C30" s="176"/>
      <c r="D30" s="176"/>
      <c r="E30" s="45"/>
      <c r="F30" s="176"/>
    </row>
    <row r="31" ht="15.0" customHeight="1">
      <c r="B31" s="160" t="s">
        <v>567</v>
      </c>
      <c r="C31" s="216"/>
      <c r="D31" s="216"/>
      <c r="E31" s="45"/>
      <c r="F31" s="176"/>
    </row>
    <row r="32" ht="13.5" customHeight="1">
      <c r="B32" s="235" t="s">
        <v>568</v>
      </c>
      <c r="C32" s="28" t="s">
        <v>543</v>
      </c>
      <c r="D32" s="36" t="s">
        <v>56</v>
      </c>
      <c r="E32" s="36">
        <v>4.0</v>
      </c>
      <c r="F32" s="36">
        <v>15.0</v>
      </c>
      <c r="I32" s="144" t="s">
        <v>538</v>
      </c>
      <c r="J32" s="218" t="s">
        <v>518</v>
      </c>
      <c r="K32" s="236" t="s">
        <v>569</v>
      </c>
    </row>
    <row r="33" ht="15.75" customHeight="1">
      <c r="B33" s="28" t="s">
        <v>442</v>
      </c>
      <c r="C33" s="28" t="s">
        <v>570</v>
      </c>
      <c r="D33" s="34" t="s">
        <v>58</v>
      </c>
      <c r="E33" s="36">
        <v>4.0</v>
      </c>
      <c r="F33" s="36">
        <v>15.0</v>
      </c>
      <c r="I33" s="144" t="s">
        <v>571</v>
      </c>
      <c r="J33" s="218" t="s">
        <v>572</v>
      </c>
      <c r="K33" s="225">
        <v>0.375</v>
      </c>
    </row>
    <row r="34" ht="13.5" customHeight="1">
      <c r="B34" s="28" t="s">
        <v>573</v>
      </c>
      <c r="C34" s="38" t="s">
        <v>574</v>
      </c>
      <c r="D34" s="36" t="s">
        <v>439</v>
      </c>
      <c r="E34" s="36">
        <v>4.0</v>
      </c>
      <c r="F34" s="36">
        <v>15.0</v>
      </c>
      <c r="I34" s="144" t="s">
        <v>517</v>
      </c>
      <c r="J34" s="218" t="s">
        <v>511</v>
      </c>
      <c r="K34" s="144" t="s">
        <v>575</v>
      </c>
    </row>
    <row r="35" ht="15.75" customHeight="1">
      <c r="B35" s="28" t="s">
        <v>576</v>
      </c>
      <c r="C35" s="38" t="s">
        <v>577</v>
      </c>
      <c r="D35" s="36" t="s">
        <v>439</v>
      </c>
      <c r="E35" s="36">
        <v>4.0</v>
      </c>
      <c r="F35" s="36">
        <v>15.0</v>
      </c>
      <c r="I35" s="144" t="s">
        <v>571</v>
      </c>
      <c r="J35" s="218" t="s">
        <v>578</v>
      </c>
      <c r="K35" s="82" t="s">
        <v>579</v>
      </c>
    </row>
    <row r="36" ht="13.5" customHeight="1">
      <c r="B36" s="28" t="s">
        <v>580</v>
      </c>
      <c r="C36" s="38" t="s">
        <v>120</v>
      </c>
      <c r="D36" s="36" t="s">
        <v>58</v>
      </c>
      <c r="E36" s="36">
        <v>5.0</v>
      </c>
      <c r="F36" s="36">
        <v>15.0</v>
      </c>
      <c r="I36" s="144" t="s">
        <v>520</v>
      </c>
      <c r="J36" s="218" t="s">
        <v>553</v>
      </c>
      <c r="K36" s="225"/>
    </row>
    <row r="37" ht="15.75" customHeight="1">
      <c r="C37" s="105"/>
      <c r="I37" s="238"/>
      <c r="J37" s="238"/>
      <c r="K37" s="238"/>
      <c r="N37" s="9"/>
    </row>
    <row r="38" ht="15.75" customHeight="1">
      <c r="C38" s="105"/>
      <c r="I38" s="238"/>
      <c r="J38" s="238"/>
      <c r="K38" s="238"/>
      <c r="N38" s="9"/>
    </row>
    <row r="39" ht="15.75" customHeight="1">
      <c r="C39" s="105"/>
      <c r="I39" s="238"/>
      <c r="J39" s="238"/>
      <c r="K39" s="238"/>
      <c r="N39" s="9"/>
    </row>
    <row r="40" ht="15.75" customHeight="1">
      <c r="C40" s="105"/>
      <c r="I40" s="238"/>
      <c r="J40" s="238"/>
      <c r="K40" s="238"/>
      <c r="N40" s="9"/>
    </row>
    <row r="41" ht="15.75" customHeight="1">
      <c r="C41" s="105"/>
      <c r="I41" s="238"/>
      <c r="J41" s="238"/>
      <c r="K41" s="238"/>
      <c r="N41" s="9"/>
    </row>
    <row r="42" ht="15.75" customHeight="1">
      <c r="C42" s="105"/>
      <c r="I42" s="238"/>
      <c r="J42" s="238"/>
      <c r="K42" s="238"/>
      <c r="N42" s="9"/>
    </row>
    <row r="43" ht="15.75" customHeight="1">
      <c r="C43" s="105"/>
      <c r="I43" s="238"/>
      <c r="J43" s="238"/>
      <c r="K43" s="238"/>
      <c r="N43" s="9"/>
    </row>
    <row r="44" ht="15.75" customHeight="1">
      <c r="I44" s="238"/>
      <c r="J44" s="238"/>
      <c r="K44" s="238"/>
    </row>
    <row r="45" ht="13.5" customHeight="1"/>
    <row r="46" ht="13.5" customHeight="1">
      <c r="A46" s="11"/>
      <c r="B46" s="11"/>
      <c r="C46" s="191"/>
      <c r="D46" s="92"/>
      <c r="E46" s="92"/>
      <c r="F46" s="9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3.5" customHeight="1">
      <c r="A47" s="240"/>
      <c r="B47" s="11"/>
      <c r="C47" s="11"/>
      <c r="D47" s="92"/>
      <c r="E47" s="11"/>
      <c r="F47" s="9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3.5" customHeight="1">
      <c r="A48" s="11"/>
      <c r="B48" s="11"/>
      <c r="C48" s="11"/>
      <c r="D48" s="92"/>
      <c r="E48" s="11"/>
      <c r="F48" s="9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42.75" customHeight="1">
      <c r="A49" s="11"/>
      <c r="B49" s="11"/>
      <c r="C49" s="11" t="s">
        <v>582</v>
      </c>
      <c r="D49" s="13" t="s">
        <v>207</v>
      </c>
      <c r="E49" s="13" t="s">
        <v>208</v>
      </c>
      <c r="F49" s="13" t="s">
        <v>445</v>
      </c>
      <c r="G49" s="13" t="s">
        <v>210</v>
      </c>
      <c r="H49" s="13" t="s">
        <v>211</v>
      </c>
      <c r="I49" s="226" t="s">
        <v>210</v>
      </c>
      <c r="J49" s="226" t="s">
        <v>211</v>
      </c>
      <c r="K49" s="13" t="s">
        <v>212</v>
      </c>
      <c r="L49" s="13" t="s">
        <v>213</v>
      </c>
      <c r="M49" s="13" t="s">
        <v>214</v>
      </c>
      <c r="N49" s="13" t="s">
        <v>215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3.5" customHeight="1">
      <c r="A50" s="11"/>
      <c r="B50" s="49">
        <v>1.0</v>
      </c>
      <c r="C50" s="38" t="s">
        <v>412</v>
      </c>
      <c r="D50" s="36">
        <f t="shared" ref="D50:D52" si="1">COUNTIF($C$5:$C$45,C50)</f>
        <v>0</v>
      </c>
      <c r="E50" s="36">
        <f>'Asignación-Profesor'!D169-D50</f>
        <v>1</v>
      </c>
      <c r="F50" s="242">
        <f t="shared" ref="F50:F61" si="2">E50+D50</f>
        <v>1</v>
      </c>
      <c r="G50" s="243"/>
      <c r="H50" s="243"/>
      <c r="I50" s="125">
        <f>'Asignación-Profesor'!P169</f>
        <v>25</v>
      </c>
      <c r="J50" s="125">
        <f>'Asignación-Profesor'!Q169</f>
        <v>5</v>
      </c>
      <c r="K50" s="17"/>
      <c r="L50" s="17"/>
      <c r="M50" s="246" t="s">
        <v>583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3.5" customHeight="1">
      <c r="A51" s="11"/>
      <c r="B51" s="11">
        <v>2.0</v>
      </c>
      <c r="C51" s="28" t="s">
        <v>570</v>
      </c>
      <c r="D51" s="36">
        <f t="shared" si="1"/>
        <v>1</v>
      </c>
      <c r="E51" s="36">
        <f>'Asignación-Profesor'!D170-D51</f>
        <v>0</v>
      </c>
      <c r="F51" s="242">
        <f t="shared" si="2"/>
        <v>1</v>
      </c>
      <c r="G51" s="243"/>
      <c r="H51" s="243"/>
      <c r="I51" s="125">
        <f>'Asignación-Profesor'!P170</f>
        <v>15</v>
      </c>
      <c r="J51" s="125">
        <f>'Asignación-Profesor'!Q170</f>
        <v>4</v>
      </c>
      <c r="K51" s="144" t="s">
        <v>584</v>
      </c>
      <c r="L51" s="17"/>
      <c r="M51" s="247" t="s">
        <v>454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3.5" customHeight="1">
      <c r="A52" s="11"/>
      <c r="B52" s="11">
        <v>3.0</v>
      </c>
      <c r="C52" s="248" t="s">
        <v>565</v>
      </c>
      <c r="D52" s="36">
        <f t="shared" si="1"/>
        <v>1</v>
      </c>
      <c r="E52" s="34">
        <v>1.0</v>
      </c>
      <c r="F52" s="242">
        <f t="shared" si="2"/>
        <v>2</v>
      </c>
      <c r="G52" s="243"/>
      <c r="H52" s="243"/>
      <c r="I52" s="205">
        <v>28.0</v>
      </c>
      <c r="J52" s="205">
        <v>10.0</v>
      </c>
      <c r="K52" s="147" t="s">
        <v>587</v>
      </c>
      <c r="L52" s="17"/>
      <c r="M52" s="247" t="s">
        <v>454</v>
      </c>
      <c r="N52" s="49" t="s">
        <v>588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3.5" customHeight="1">
      <c r="A53" s="11"/>
      <c r="B53" s="11">
        <v>4.0</v>
      </c>
      <c r="C53" s="28" t="s">
        <v>84</v>
      </c>
      <c r="D53" s="34">
        <v>1.0</v>
      </c>
      <c r="E53" s="34">
        <v>3.0</v>
      </c>
      <c r="F53" s="242">
        <f t="shared" si="2"/>
        <v>4</v>
      </c>
      <c r="G53" s="243"/>
      <c r="H53" s="243"/>
      <c r="I53" s="125">
        <f>'Asignación-Profesor'!P172</f>
        <v>48</v>
      </c>
      <c r="J53" s="125">
        <f>'Asignación-Profesor'!Q172</f>
        <v>9</v>
      </c>
      <c r="K53" s="147"/>
      <c r="L53" s="17"/>
      <c r="M53" s="247" t="s">
        <v>454</v>
      </c>
      <c r="N53" s="49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3.5" customHeight="1">
      <c r="A54" s="11"/>
      <c r="B54" s="11">
        <v>5.0</v>
      </c>
      <c r="C54" s="248" t="s">
        <v>148</v>
      </c>
      <c r="D54" s="36">
        <f t="shared" ref="D54:D57" si="3">COUNTIF($C$5:$C$45,C54)</f>
        <v>1</v>
      </c>
      <c r="E54" s="36">
        <f>'Asignación-Profesor'!D173-D54</f>
        <v>3</v>
      </c>
      <c r="F54" s="242">
        <f t="shared" si="2"/>
        <v>4</v>
      </c>
      <c r="G54" s="243"/>
      <c r="H54" s="243"/>
      <c r="I54" s="205">
        <v>22.0</v>
      </c>
      <c r="J54" s="205">
        <v>10.0</v>
      </c>
      <c r="K54" s="8"/>
      <c r="L54" s="17"/>
      <c r="M54" s="247" t="s">
        <v>454</v>
      </c>
      <c r="N54" s="49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3.5" customHeight="1">
      <c r="A55" s="11"/>
      <c r="B55" s="11">
        <v>6.0</v>
      </c>
      <c r="C55" s="28" t="s">
        <v>543</v>
      </c>
      <c r="D55" s="36">
        <f t="shared" si="3"/>
        <v>4</v>
      </c>
      <c r="E55" s="36">
        <f>'Asignación-Profesor'!D174-D55</f>
        <v>0</v>
      </c>
      <c r="F55" s="242">
        <f t="shared" si="2"/>
        <v>4</v>
      </c>
      <c r="G55" s="243"/>
      <c r="H55" s="243"/>
      <c r="I55" s="205">
        <v>37.0</v>
      </c>
      <c r="J55" s="205">
        <v>15.0</v>
      </c>
      <c r="K55" s="8"/>
      <c r="L55" s="146"/>
      <c r="M55" s="247" t="s">
        <v>454</v>
      </c>
      <c r="N55" s="49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3.5" customHeight="1">
      <c r="A56" s="11"/>
      <c r="B56" s="250"/>
      <c r="C56" s="28" t="s">
        <v>589</v>
      </c>
      <c r="D56" s="36">
        <f t="shared" si="3"/>
        <v>0</v>
      </c>
      <c r="E56" s="36">
        <f>'Asignación-Profesor'!D175-D56</f>
        <v>1</v>
      </c>
      <c r="F56" s="242">
        <f t="shared" si="2"/>
        <v>1</v>
      </c>
      <c r="G56" s="243"/>
      <c r="H56" s="243"/>
      <c r="I56" s="205">
        <v>15.0</v>
      </c>
      <c r="J56" s="125">
        <f>'Asignación-Profesor'!Q175</f>
        <v>4</v>
      </c>
      <c r="K56" s="147" t="s">
        <v>587</v>
      </c>
      <c r="L56" s="146"/>
      <c r="M56" s="247" t="s">
        <v>454</v>
      </c>
      <c r="N56" s="49" t="s">
        <v>590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3.5" customHeight="1">
      <c r="A57" s="11"/>
      <c r="B57" s="49">
        <v>8.0</v>
      </c>
      <c r="C57" s="248" t="s">
        <v>120</v>
      </c>
      <c r="D57" s="36">
        <f t="shared" si="3"/>
        <v>2</v>
      </c>
      <c r="E57" s="36">
        <f>'Asignación-Profesor'!D176-D57</f>
        <v>1</v>
      </c>
      <c r="F57" s="242">
        <f t="shared" si="2"/>
        <v>3</v>
      </c>
      <c r="G57" s="243"/>
      <c r="H57" s="243"/>
      <c r="I57" s="205">
        <v>30.0</v>
      </c>
      <c r="J57" s="205">
        <v>10.0</v>
      </c>
      <c r="K57" s="8"/>
      <c r="L57" s="146"/>
      <c r="M57" s="247" t="s">
        <v>454</v>
      </c>
      <c r="N57" s="49" t="s">
        <v>597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3.5" customHeight="1">
      <c r="A58" s="11"/>
      <c r="B58" s="11">
        <v>9.0</v>
      </c>
      <c r="C58" s="28" t="s">
        <v>525</v>
      </c>
      <c r="D58" s="34">
        <v>2.0</v>
      </c>
      <c r="E58" s="34">
        <v>0.0</v>
      </c>
      <c r="F58" s="242">
        <f t="shared" si="2"/>
        <v>2</v>
      </c>
      <c r="G58" s="243"/>
      <c r="H58" s="243"/>
      <c r="I58" s="205">
        <v>28.0</v>
      </c>
      <c r="J58" s="205">
        <v>10.0</v>
      </c>
      <c r="K58" s="147" t="s">
        <v>587</v>
      </c>
      <c r="L58" s="17"/>
      <c r="M58" s="246" t="s">
        <v>583</v>
      </c>
      <c r="N58" s="49" t="s">
        <v>588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3.5" customHeight="1">
      <c r="A59" s="11"/>
      <c r="B59" s="11">
        <v>10.0</v>
      </c>
      <c r="C59" s="248" t="s">
        <v>433</v>
      </c>
      <c r="D59" s="34">
        <v>3.0</v>
      </c>
      <c r="E59" s="34">
        <v>1.0</v>
      </c>
      <c r="F59" s="251">
        <f t="shared" si="2"/>
        <v>4</v>
      </c>
      <c r="G59" s="243"/>
      <c r="H59" s="243"/>
      <c r="I59" s="125">
        <f>'Asignación-Profesor'!P178</f>
        <v>58</v>
      </c>
      <c r="J59" s="125">
        <f>'Asignación-Profesor'!Q178</f>
        <v>20</v>
      </c>
      <c r="K59" s="147" t="s">
        <v>604</v>
      </c>
      <c r="L59" s="146"/>
      <c r="M59" s="246" t="s">
        <v>583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3.5" customHeight="1">
      <c r="A60" s="11"/>
      <c r="B60" s="11">
        <v>11.0</v>
      </c>
      <c r="C60" s="257" t="s">
        <v>605</v>
      </c>
      <c r="D60" s="34">
        <v>0.0</v>
      </c>
      <c r="E60" s="34">
        <v>0.0</v>
      </c>
      <c r="F60" s="242">
        <f t="shared" si="2"/>
        <v>0</v>
      </c>
      <c r="G60" s="243"/>
      <c r="H60" s="243"/>
      <c r="I60" s="205">
        <v>13.0</v>
      </c>
      <c r="J60" s="205">
        <v>5.0</v>
      </c>
      <c r="K60" s="259" t="s">
        <v>606</v>
      </c>
      <c r="L60" s="259"/>
      <c r="M60" s="246" t="s">
        <v>583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3.5" customHeight="1">
      <c r="A61" s="11"/>
      <c r="B61" s="49">
        <v>12.0</v>
      </c>
      <c r="C61" s="260" t="s">
        <v>607</v>
      </c>
      <c r="D61" s="36">
        <f>COUNTIF($C$5:$C$45,C61)</f>
        <v>0</v>
      </c>
      <c r="E61" s="36">
        <f>'Asignación-Profesor'!D180-D61</f>
        <v>0</v>
      </c>
      <c r="F61" s="242">
        <f t="shared" si="2"/>
        <v>0</v>
      </c>
      <c r="G61" s="243"/>
      <c r="H61" s="243"/>
      <c r="I61" s="125" t="str">
        <f>'Asignación-Profesor'!P180</f>
        <v/>
      </c>
      <c r="J61" s="125" t="str">
        <f>'Asignación-Profesor'!Q180</f>
        <v/>
      </c>
      <c r="K61" s="259" t="s">
        <v>610</v>
      </c>
      <c r="L61" s="263" t="s">
        <v>611</v>
      </c>
      <c r="M61" s="247" t="s">
        <v>454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3.5" customHeight="1">
      <c r="C62" s="257"/>
    </row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conditionalFormatting sqref="F50:F61">
    <cfRule type="cellIs" dxfId="0" priority="1" operator="lessThan">
      <formula>3</formula>
    </cfRule>
  </conditionalFormatting>
  <conditionalFormatting sqref="F50:F61">
    <cfRule type="cellIs" dxfId="1" priority="2" operator="equal">
      <formula>3</formula>
    </cfRule>
  </conditionalFormatting>
  <conditionalFormatting sqref="F50:F61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2.57"/>
    <col customWidth="1" min="3" max="3" width="51.57"/>
    <col customWidth="1" min="4" max="4" width="18.0"/>
    <col customWidth="1" min="9" max="9" width="29.43"/>
    <col customWidth="1" min="10" max="10" width="37.57"/>
    <col customWidth="1" min="11" max="11" width="34.86"/>
  </cols>
  <sheetData>
    <row r="1">
      <c r="A1" s="2" t="s">
        <v>1</v>
      </c>
      <c r="B1" s="4"/>
      <c r="C1" s="4"/>
      <c r="D1" s="4"/>
      <c r="E1" s="4"/>
      <c r="F1" s="6"/>
    </row>
    <row r="2">
      <c r="A2" s="11"/>
      <c r="B2" s="87" t="s">
        <v>2</v>
      </c>
      <c r="C2" s="87" t="s">
        <v>3</v>
      </c>
      <c r="D2" s="13" t="s">
        <v>4</v>
      </c>
      <c r="E2" s="13" t="s">
        <v>5</v>
      </c>
      <c r="F2" s="13" t="s">
        <v>6</v>
      </c>
    </row>
    <row r="3">
      <c r="B3" s="160">
        <v>117.0</v>
      </c>
      <c r="C3" s="216"/>
      <c r="D3" s="216"/>
      <c r="E3" s="176"/>
      <c r="F3" s="45"/>
      <c r="G3" s="144" t="s">
        <v>591</v>
      </c>
    </row>
    <row r="4">
      <c r="B4" s="28" t="s">
        <v>514</v>
      </c>
      <c r="C4" s="38" t="s">
        <v>592</v>
      </c>
      <c r="D4" s="36" t="s">
        <v>439</v>
      </c>
      <c r="E4" s="36">
        <v>5.0</v>
      </c>
      <c r="F4" s="36">
        <v>14.0</v>
      </c>
      <c r="G4" s="144" t="s">
        <v>553</v>
      </c>
      <c r="H4" s="144" t="s">
        <v>593</v>
      </c>
    </row>
    <row r="5">
      <c r="B5" s="28" t="s">
        <v>594</v>
      </c>
      <c r="C5" s="38" t="s">
        <v>595</v>
      </c>
      <c r="D5" s="34" t="s">
        <v>56</v>
      </c>
      <c r="E5" s="36">
        <v>5.0</v>
      </c>
      <c r="F5" s="36">
        <v>14.0</v>
      </c>
      <c r="G5" s="144" t="s">
        <v>596</v>
      </c>
      <c r="H5" s="166" t="s">
        <v>598</v>
      </c>
    </row>
    <row r="6">
      <c r="B6" s="28" t="s">
        <v>599</v>
      </c>
      <c r="C6" s="38" t="s">
        <v>388</v>
      </c>
      <c r="D6" s="36" t="s">
        <v>41</v>
      </c>
      <c r="E6" s="36">
        <v>5.0</v>
      </c>
      <c r="F6" s="36">
        <v>14.0</v>
      </c>
      <c r="G6" s="144" t="s">
        <v>541</v>
      </c>
      <c r="H6" s="166" t="s">
        <v>386</v>
      </c>
    </row>
    <row r="7">
      <c r="B7" s="28" t="s">
        <v>529</v>
      </c>
      <c r="C7" s="38" t="s">
        <v>384</v>
      </c>
      <c r="D7" s="36" t="s">
        <v>439</v>
      </c>
      <c r="E7" s="36">
        <v>5.0</v>
      </c>
      <c r="F7" s="36">
        <v>14.0</v>
      </c>
      <c r="G7" s="144" t="s">
        <v>600</v>
      </c>
      <c r="H7" s="166" t="s">
        <v>386</v>
      </c>
    </row>
    <row r="8">
      <c r="B8" s="28" t="s">
        <v>27</v>
      </c>
      <c r="C8" s="38" t="s">
        <v>601</v>
      </c>
      <c r="D8" s="36" t="s">
        <v>439</v>
      </c>
      <c r="E8" s="36">
        <v>5.0</v>
      </c>
      <c r="F8" s="36">
        <v>14.0</v>
      </c>
      <c r="G8" s="144" t="s">
        <v>527</v>
      </c>
      <c r="H8" s="144" t="s">
        <v>602</v>
      </c>
    </row>
    <row r="10">
      <c r="G10" s="144" t="s">
        <v>518</v>
      </c>
      <c r="H10" s="144" t="s">
        <v>603</v>
      </c>
    </row>
    <row r="13" ht="7.5" customHeight="1"/>
    <row r="14" ht="7.5" customHeight="1"/>
    <row r="15" ht="7.5" customHeight="1"/>
    <row r="16" ht="7.5" customHeight="1"/>
    <row r="17" ht="7.5" customHeight="1"/>
    <row r="18" ht="7.5" customHeight="1"/>
    <row r="19" ht="7.5" customHeight="1"/>
    <row r="20" ht="7.5" customHeight="1"/>
    <row r="21">
      <c r="A21" s="176"/>
      <c r="B21" s="176"/>
      <c r="C21" s="252" t="s">
        <v>582</v>
      </c>
      <c r="D21" s="253" t="s">
        <v>207</v>
      </c>
      <c r="E21" s="253" t="s">
        <v>208</v>
      </c>
      <c r="F21" s="253" t="s">
        <v>445</v>
      </c>
      <c r="G21" s="253" t="s">
        <v>210</v>
      </c>
      <c r="H21" s="253" t="s">
        <v>211</v>
      </c>
      <c r="I21" s="253" t="s">
        <v>212</v>
      </c>
      <c r="J21" s="253" t="s">
        <v>213</v>
      </c>
      <c r="K21" s="254" t="s">
        <v>214</v>
      </c>
    </row>
    <row r="22">
      <c r="A22" s="176"/>
      <c r="B22" s="255">
        <v>1.0</v>
      </c>
      <c r="C22" s="256" t="s">
        <v>592</v>
      </c>
      <c r="D22" s="258">
        <f t="shared" ref="D22:D23" si="1">COUNTIF($C$4:$C$19,C22)</f>
        <v>1</v>
      </c>
      <c r="E22" s="34">
        <v>0.0</v>
      </c>
      <c r="F22" s="261">
        <f t="shared" ref="F22:F28" si="2">E22+D22</f>
        <v>1</v>
      </c>
      <c r="G22" s="262">
        <f>'Asignación-Profesor'!P184</f>
        <v>15</v>
      </c>
      <c r="H22" s="262">
        <f>'Asignación-Profesor'!Q184</f>
        <v>5</v>
      </c>
      <c r="I22" s="45"/>
      <c r="J22" s="146"/>
      <c r="K22" s="258" t="s">
        <v>608</v>
      </c>
    </row>
    <row r="23">
      <c r="A23" s="176"/>
      <c r="B23" s="255">
        <v>2.0</v>
      </c>
      <c r="C23" s="256" t="s">
        <v>609</v>
      </c>
      <c r="D23" s="258">
        <f t="shared" si="1"/>
        <v>0</v>
      </c>
      <c r="E23" s="258">
        <f>'Asignación-Profesor'!D185-D23</f>
        <v>2</v>
      </c>
      <c r="F23" s="261">
        <f t="shared" si="2"/>
        <v>2</v>
      </c>
      <c r="G23" s="262">
        <f>'Asignación-Profesor'!P185</f>
        <v>4</v>
      </c>
      <c r="H23" s="262">
        <f>'Asignación-Profesor'!Q185</f>
        <v>9</v>
      </c>
      <c r="I23" s="147" t="s">
        <v>587</v>
      </c>
      <c r="J23" s="176"/>
      <c r="K23" s="258" t="s">
        <v>608</v>
      </c>
    </row>
    <row r="24">
      <c r="A24" s="176"/>
      <c r="B24" s="255">
        <v>3.0</v>
      </c>
      <c r="C24" s="256" t="s">
        <v>547</v>
      </c>
      <c r="D24" s="34">
        <v>0.0</v>
      </c>
      <c r="E24" s="34">
        <v>2.0</v>
      </c>
      <c r="F24" s="261">
        <f t="shared" si="2"/>
        <v>2</v>
      </c>
      <c r="G24" s="262">
        <f>'Asignación-Profesor'!P186</f>
        <v>7</v>
      </c>
      <c r="H24" s="265">
        <v>10.0</v>
      </c>
      <c r="I24" s="147" t="s">
        <v>587</v>
      </c>
      <c r="J24" s="176"/>
      <c r="K24" s="258" t="s">
        <v>608</v>
      </c>
    </row>
    <row r="25">
      <c r="A25" s="176"/>
      <c r="B25" s="255">
        <v>4.0</v>
      </c>
      <c r="C25" s="256" t="s">
        <v>601</v>
      </c>
      <c r="D25" s="258">
        <f t="shared" ref="D25:D28" si="3">COUNTIF($C$4:$C$19,C25)</f>
        <v>1</v>
      </c>
      <c r="E25" s="258">
        <f>'Asignación-Profesor'!D187-D25</f>
        <v>2</v>
      </c>
      <c r="F25" s="261">
        <f t="shared" si="2"/>
        <v>3</v>
      </c>
      <c r="G25" s="262">
        <f>'Asignación-Profesor'!P187</f>
        <v>23</v>
      </c>
      <c r="H25" s="262">
        <f>'Asignación-Profesor'!Q187</f>
        <v>15</v>
      </c>
      <c r="I25" s="147" t="s">
        <v>612</v>
      </c>
      <c r="J25" s="176"/>
      <c r="K25" s="258" t="s">
        <v>608</v>
      </c>
    </row>
    <row r="26">
      <c r="A26" s="176"/>
      <c r="B26" s="255">
        <v>5.0</v>
      </c>
      <c r="C26" s="256" t="s">
        <v>384</v>
      </c>
      <c r="D26" s="258">
        <f t="shared" si="3"/>
        <v>1</v>
      </c>
      <c r="E26" s="258">
        <f>'Asignación-Profesor'!D188-D26</f>
        <v>4</v>
      </c>
      <c r="F26" s="261">
        <f t="shared" si="2"/>
        <v>5</v>
      </c>
      <c r="G26" s="262">
        <f>'Asignación-Profesor'!P188</f>
        <v>80</v>
      </c>
      <c r="H26" s="262">
        <f>'Asignación-Profesor'!Q188</f>
        <v>25</v>
      </c>
      <c r="I26" s="45"/>
      <c r="J26" s="176"/>
      <c r="K26" s="266" t="s">
        <v>613</v>
      </c>
      <c r="L26" s="144" t="s">
        <v>614</v>
      </c>
    </row>
    <row r="27">
      <c r="A27" s="176"/>
      <c r="B27" s="255">
        <v>6.0</v>
      </c>
      <c r="C27" s="256" t="s">
        <v>577</v>
      </c>
      <c r="D27" s="258">
        <f t="shared" si="3"/>
        <v>0</v>
      </c>
      <c r="E27" s="258">
        <f>'Asignación-Profesor'!D189-D27</f>
        <v>2</v>
      </c>
      <c r="F27" s="261">
        <f t="shared" si="2"/>
        <v>2</v>
      </c>
      <c r="G27" s="262">
        <f>'Asignación-Profesor'!P189</f>
        <v>20</v>
      </c>
      <c r="H27" s="262">
        <f>'Asignación-Profesor'!Q189</f>
        <v>9</v>
      </c>
      <c r="I27" s="147" t="s">
        <v>615</v>
      </c>
      <c r="J27" s="176"/>
      <c r="K27" s="258" t="s">
        <v>608</v>
      </c>
    </row>
    <row r="28">
      <c r="A28" s="176"/>
      <c r="B28" s="255">
        <v>7.0</v>
      </c>
      <c r="C28" s="256" t="s">
        <v>574</v>
      </c>
      <c r="D28" s="258">
        <f t="shared" si="3"/>
        <v>0</v>
      </c>
      <c r="E28" s="258">
        <f>'Asignación-Profesor'!D190-D28</f>
        <v>3</v>
      </c>
      <c r="F28" s="261">
        <f t="shared" si="2"/>
        <v>3</v>
      </c>
      <c r="G28" s="262">
        <f>'Asignación-Profesor'!P190</f>
        <v>24</v>
      </c>
      <c r="H28" s="262">
        <f>'Asignación-Profesor'!Q190</f>
        <v>14</v>
      </c>
      <c r="I28" s="147" t="s">
        <v>616</v>
      </c>
      <c r="J28" s="176"/>
      <c r="K28" s="266" t="s">
        <v>613</v>
      </c>
    </row>
  </sheetData>
  <mergeCells count="1">
    <mergeCell ref="A1:F1"/>
  </mergeCells>
  <conditionalFormatting sqref="F22:F28">
    <cfRule type="cellIs" dxfId="3" priority="1" operator="lessThan">
      <formula>3</formula>
    </cfRule>
  </conditionalFormatting>
  <conditionalFormatting sqref="F22:F28">
    <cfRule type="cellIs" dxfId="4" priority="2" operator="equal">
      <formula>3</formula>
    </cfRule>
  </conditionalFormatting>
  <conditionalFormatting sqref="F22:F28">
    <cfRule type="cellIs" dxfId="5" priority="3" operator="greaterThan">
      <formula>3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2.71"/>
    <col customWidth="1" min="3" max="3" width="43.43"/>
    <col customWidth="1" min="4" max="4" width="11.0"/>
    <col customWidth="1" min="5" max="5" width="10.57"/>
    <col customWidth="1" min="6" max="6" width="11.14"/>
    <col customWidth="1" min="7" max="7" width="24.57"/>
    <col customWidth="1" min="8" max="8" width="67.57"/>
    <col customWidth="1" min="9" max="10" width="13.14"/>
    <col customWidth="1" min="11" max="11" width="18.86"/>
    <col customWidth="1" min="12" max="12" width="25.0"/>
    <col customWidth="1" min="13" max="13" width="62.0"/>
    <col customWidth="1" min="14" max="14" width="25.0"/>
    <col customWidth="1" min="15" max="15" width="62.0"/>
    <col customWidth="1" min="16" max="28" width="8.57"/>
  </cols>
  <sheetData>
    <row r="1">
      <c r="A1" s="2" t="s">
        <v>1</v>
      </c>
      <c r="B1" s="4"/>
      <c r="C1" s="4"/>
      <c r="D1" s="4"/>
      <c r="E1" s="4"/>
      <c r="F1" s="6"/>
      <c r="G1" s="8"/>
      <c r="H1" s="8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36.75" customHeight="1">
      <c r="A2" s="9"/>
      <c r="B2" s="87" t="s">
        <v>2</v>
      </c>
      <c r="C2" s="87" t="s">
        <v>3</v>
      </c>
      <c r="D2" s="13" t="s">
        <v>4</v>
      </c>
      <c r="E2" s="13" t="s">
        <v>5</v>
      </c>
      <c r="F2" s="13" t="s">
        <v>6</v>
      </c>
      <c r="G2" s="8"/>
      <c r="H2" s="17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3.5" customHeight="1">
      <c r="B3" s="175">
        <v>701.0</v>
      </c>
      <c r="C3" s="216"/>
      <c r="D3" s="25"/>
      <c r="E3" s="216"/>
    </row>
    <row r="4" ht="13.5" customHeight="1">
      <c r="B4" s="28" t="s">
        <v>623</v>
      </c>
      <c r="C4" s="277"/>
      <c r="D4" s="36" t="s">
        <v>439</v>
      </c>
      <c r="E4" s="36">
        <v>5.0</v>
      </c>
      <c r="F4" s="36">
        <v>4.0</v>
      </c>
    </row>
    <row r="5" ht="13.5" customHeight="1">
      <c r="B5" s="28" t="s">
        <v>624</v>
      </c>
      <c r="C5" s="38" t="s">
        <v>601</v>
      </c>
      <c r="D5" s="36" t="s">
        <v>439</v>
      </c>
      <c r="E5" s="36">
        <v>5.0</v>
      </c>
      <c r="F5" s="36">
        <v>4.0</v>
      </c>
      <c r="G5" s="144" t="s">
        <v>625</v>
      </c>
    </row>
    <row r="6" ht="13.5" customHeight="1">
      <c r="B6" s="28" t="s">
        <v>626</v>
      </c>
      <c r="C6" s="38" t="s">
        <v>384</v>
      </c>
      <c r="D6" s="36" t="s">
        <v>439</v>
      </c>
      <c r="E6" s="36">
        <v>5.0</v>
      </c>
      <c r="F6" s="36">
        <v>4.0</v>
      </c>
      <c r="G6" s="144" t="s">
        <v>625</v>
      </c>
    </row>
    <row r="7" ht="13.5" customHeight="1">
      <c r="B7" s="28" t="s">
        <v>627</v>
      </c>
      <c r="C7" s="38" t="s">
        <v>609</v>
      </c>
      <c r="D7" s="36" t="s">
        <v>439</v>
      </c>
      <c r="E7" s="36">
        <v>5.0</v>
      </c>
      <c r="F7" s="36">
        <v>4.0</v>
      </c>
      <c r="G7" s="82" t="s">
        <v>579</v>
      </c>
    </row>
    <row r="8" ht="13.5" customHeight="1">
      <c r="B8" s="28" t="s">
        <v>628</v>
      </c>
      <c r="C8" s="38" t="s">
        <v>574</v>
      </c>
      <c r="D8" s="36" t="s">
        <v>439</v>
      </c>
      <c r="E8" s="36">
        <v>5.0</v>
      </c>
      <c r="F8" s="36">
        <v>4.0</v>
      </c>
      <c r="G8" s="82" t="s">
        <v>579</v>
      </c>
    </row>
    <row r="9" ht="13.5" customHeight="1">
      <c r="B9" s="28"/>
      <c r="C9" s="38"/>
      <c r="D9" s="36"/>
      <c r="E9" s="36"/>
      <c r="F9" s="36"/>
    </row>
    <row r="10" ht="13.5" customHeight="1">
      <c r="B10" s="175">
        <v>901.0</v>
      </c>
      <c r="C10" s="216"/>
      <c r="D10" s="25"/>
      <c r="E10" s="216"/>
      <c r="F10" s="201"/>
    </row>
    <row r="11" ht="13.5" customHeight="1">
      <c r="B11" s="28" t="s">
        <v>629</v>
      </c>
      <c r="C11" s="38" t="s">
        <v>574</v>
      </c>
      <c r="D11" s="36" t="s">
        <v>439</v>
      </c>
      <c r="E11" s="36">
        <v>5.0</v>
      </c>
      <c r="F11" s="36">
        <v>5.0</v>
      </c>
      <c r="G11" s="82" t="s">
        <v>579</v>
      </c>
    </row>
    <row r="12" ht="13.5" customHeight="1">
      <c r="B12" s="28" t="s">
        <v>630</v>
      </c>
      <c r="C12" s="38" t="s">
        <v>631</v>
      </c>
      <c r="D12" s="36" t="s">
        <v>56</v>
      </c>
      <c r="E12" s="36">
        <v>5.0</v>
      </c>
      <c r="F12" s="36">
        <v>5.0</v>
      </c>
      <c r="G12" s="144" t="s">
        <v>632</v>
      </c>
    </row>
    <row r="13" ht="13.5" customHeight="1">
      <c r="B13" s="28" t="s">
        <v>633</v>
      </c>
      <c r="C13" s="38" t="s">
        <v>577</v>
      </c>
      <c r="D13" s="36" t="s">
        <v>439</v>
      </c>
      <c r="E13" s="36">
        <v>5.0</v>
      </c>
      <c r="F13" s="36">
        <v>5.0</v>
      </c>
      <c r="G13" s="82" t="s">
        <v>579</v>
      </c>
    </row>
    <row r="14" ht="13.5" customHeight="1">
      <c r="B14" s="28" t="s">
        <v>634</v>
      </c>
      <c r="C14" s="38" t="s">
        <v>601</v>
      </c>
      <c r="D14" s="36" t="s">
        <v>439</v>
      </c>
      <c r="E14" s="36">
        <v>5.0</v>
      </c>
      <c r="F14" s="36">
        <v>5.0</v>
      </c>
      <c r="G14" s="144" t="s">
        <v>625</v>
      </c>
    </row>
    <row r="15" ht="13.5" customHeight="1">
      <c r="B15" s="28" t="s">
        <v>635</v>
      </c>
      <c r="C15" s="38" t="s">
        <v>636</v>
      </c>
      <c r="D15" s="36" t="s">
        <v>56</v>
      </c>
      <c r="E15" s="36">
        <v>5.0</v>
      </c>
      <c r="F15" s="36">
        <v>5.0</v>
      </c>
      <c r="G15" s="144" t="s">
        <v>637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1:F1"/>
  </mergeCells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8.43"/>
    <col customWidth="1" min="3" max="3" width="53.14"/>
    <col customWidth="1" min="4" max="4" width="17.29"/>
    <col customWidth="1" min="5" max="5" width="11.14"/>
    <col customWidth="1" min="6" max="6" width="13.43"/>
    <col customWidth="1" min="7" max="7" width="16.14"/>
    <col customWidth="1" min="8" max="8" width="14.14"/>
    <col customWidth="1" min="9" max="9" width="11.57"/>
    <col customWidth="1" min="10" max="10" width="24.43"/>
    <col customWidth="1" min="11" max="11" width="21.57"/>
    <col customWidth="1" min="12" max="12" width="8.57"/>
    <col customWidth="1" min="13" max="13" width="25.86"/>
    <col customWidth="1" min="14" max="14" width="30.43"/>
    <col customWidth="1" min="15" max="15" width="59.71"/>
    <col customWidth="1" min="16" max="26" width="8.57"/>
  </cols>
  <sheetData>
    <row r="1">
      <c r="A1" s="2" t="s">
        <v>1</v>
      </c>
      <c r="B1" s="4"/>
      <c r="C1" s="4"/>
      <c r="D1" s="4"/>
      <c r="E1" s="4"/>
      <c r="F1" s="6"/>
      <c r="G1" s="35"/>
      <c r="H1" s="35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87" t="s">
        <v>2</v>
      </c>
      <c r="C2" s="87" t="s">
        <v>3</v>
      </c>
      <c r="D2" s="13" t="s">
        <v>4</v>
      </c>
      <c r="E2" s="13" t="s">
        <v>5</v>
      </c>
      <c r="F2" s="13" t="s">
        <v>6</v>
      </c>
      <c r="G2" s="35"/>
      <c r="H2" s="35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2"/>
      <c r="B3" s="21" t="s">
        <v>638</v>
      </c>
      <c r="C3" s="23"/>
      <c r="D3" s="23"/>
      <c r="E3" s="8"/>
      <c r="F3" s="9"/>
      <c r="G3" s="9"/>
      <c r="H3" s="9"/>
      <c r="I3" s="9"/>
      <c r="J3" s="9"/>
      <c r="K3" s="9"/>
      <c r="L3" s="9"/>
    </row>
    <row r="4">
      <c r="A4" s="9"/>
      <c r="B4" s="28" t="s">
        <v>639</v>
      </c>
      <c r="C4" s="28" t="s">
        <v>609</v>
      </c>
      <c r="D4" s="36" t="s">
        <v>439</v>
      </c>
      <c r="E4" s="36">
        <v>4.0</v>
      </c>
      <c r="F4" s="82" t="s">
        <v>625</v>
      </c>
      <c r="G4" s="9"/>
      <c r="H4" s="9"/>
      <c r="I4" s="9"/>
      <c r="J4" s="9"/>
      <c r="K4" s="9"/>
      <c r="L4" s="9"/>
    </row>
    <row r="5">
      <c r="A5" s="9"/>
      <c r="B5" s="28" t="s">
        <v>640</v>
      </c>
      <c r="C5" s="28" t="s">
        <v>636</v>
      </c>
      <c r="D5" s="36" t="s">
        <v>56</v>
      </c>
      <c r="E5" s="36">
        <v>4.0</v>
      </c>
      <c r="F5" s="9"/>
      <c r="G5" s="9"/>
      <c r="H5" s="9"/>
      <c r="I5" s="9"/>
      <c r="J5" s="9"/>
      <c r="K5" s="9"/>
      <c r="L5" s="9"/>
    </row>
    <row r="6">
      <c r="A6" s="9"/>
      <c r="B6" s="28" t="s">
        <v>641</v>
      </c>
      <c r="C6" s="256" t="s">
        <v>547</v>
      </c>
      <c r="D6" s="36" t="s">
        <v>439</v>
      </c>
      <c r="E6" s="36">
        <v>4.0</v>
      </c>
      <c r="F6" s="9"/>
      <c r="G6" s="9"/>
      <c r="H6" s="9"/>
      <c r="I6" s="9"/>
      <c r="J6" s="9"/>
      <c r="K6" s="9"/>
      <c r="L6" s="9"/>
    </row>
    <row r="7">
      <c r="A7" s="9"/>
      <c r="B7" s="28" t="s">
        <v>642</v>
      </c>
      <c r="C7" s="28" t="s">
        <v>75</v>
      </c>
      <c r="D7" s="36" t="s">
        <v>56</v>
      </c>
      <c r="E7" s="36">
        <v>4.0</v>
      </c>
      <c r="F7" s="9"/>
      <c r="G7" s="9"/>
      <c r="H7" s="9"/>
      <c r="I7" s="9"/>
      <c r="J7" s="9"/>
      <c r="K7" s="9"/>
      <c r="L7" s="9"/>
    </row>
    <row r="8">
      <c r="A8" s="9"/>
      <c r="B8" s="28" t="s">
        <v>643</v>
      </c>
      <c r="C8" s="28" t="s">
        <v>71</v>
      </c>
      <c r="D8" s="36" t="s">
        <v>56</v>
      </c>
      <c r="E8" s="36">
        <v>4.0</v>
      </c>
      <c r="F8" s="9"/>
      <c r="G8" s="9"/>
      <c r="H8" s="9"/>
      <c r="I8" s="9"/>
      <c r="J8" s="9"/>
      <c r="K8" s="9"/>
      <c r="L8" s="9"/>
    </row>
    <row r="9">
      <c r="A9" s="9"/>
      <c r="B9" s="8"/>
      <c r="C9" s="8"/>
      <c r="D9" s="8"/>
      <c r="E9" s="17"/>
      <c r="F9" s="9"/>
      <c r="G9" s="9"/>
      <c r="H9" s="9"/>
      <c r="I9" s="9"/>
      <c r="J9" s="9"/>
      <c r="K9" s="9"/>
      <c r="L9" s="9"/>
    </row>
    <row r="10" ht="13.5" customHeight="1">
      <c r="A10" s="82"/>
      <c r="B10" s="21" t="s">
        <v>644</v>
      </c>
      <c r="C10" s="23"/>
      <c r="D10" s="23"/>
      <c r="E10" s="8"/>
      <c r="F10" s="9"/>
      <c r="G10" s="9"/>
      <c r="H10" s="9"/>
      <c r="I10" s="9"/>
      <c r="J10" s="9"/>
      <c r="K10" s="9"/>
      <c r="L10" s="9"/>
    </row>
    <row r="11" ht="13.5" customHeight="1">
      <c r="A11" s="9"/>
      <c r="B11" s="28" t="s">
        <v>645</v>
      </c>
      <c r="C11" s="28" t="s">
        <v>589</v>
      </c>
      <c r="D11" s="36" t="s">
        <v>58</v>
      </c>
      <c r="E11" s="36">
        <v>4.0</v>
      </c>
      <c r="F11" s="9"/>
      <c r="G11" s="9"/>
      <c r="H11" s="9"/>
      <c r="I11" s="9"/>
      <c r="J11" s="9"/>
      <c r="K11" s="9"/>
      <c r="L11" s="9"/>
    </row>
    <row r="12" ht="13.5" customHeight="1">
      <c r="A12" s="9"/>
      <c r="B12" s="28" t="s">
        <v>646</v>
      </c>
      <c r="C12" s="28" t="s">
        <v>60</v>
      </c>
      <c r="D12" s="36" t="s">
        <v>56</v>
      </c>
      <c r="E12" s="36">
        <v>4.0</v>
      </c>
      <c r="F12" s="9"/>
      <c r="G12" s="9"/>
      <c r="H12" s="9"/>
      <c r="I12" s="9"/>
      <c r="J12" s="9"/>
      <c r="K12" s="9"/>
      <c r="L12" s="9"/>
    </row>
    <row r="13" ht="13.5" customHeight="1">
      <c r="A13" s="9"/>
      <c r="B13" s="28" t="s">
        <v>647</v>
      </c>
      <c r="C13" s="28" t="s">
        <v>595</v>
      </c>
      <c r="D13" s="36" t="s">
        <v>56</v>
      </c>
      <c r="E13" s="36">
        <v>4.0</v>
      </c>
      <c r="F13" s="9"/>
      <c r="G13" s="9"/>
      <c r="H13" s="9"/>
      <c r="I13" s="9"/>
      <c r="J13" s="9"/>
      <c r="K13" s="9"/>
      <c r="L13" s="9"/>
    </row>
    <row r="14" ht="13.5" customHeight="1">
      <c r="A14" s="9"/>
      <c r="B14" s="278" t="s">
        <v>648</v>
      </c>
      <c r="C14" s="52" t="s">
        <v>537</v>
      </c>
      <c r="D14" s="34"/>
      <c r="E14" s="36">
        <v>4.0</v>
      </c>
      <c r="F14" s="9"/>
      <c r="G14" s="9"/>
      <c r="H14" s="9"/>
      <c r="I14" s="9"/>
      <c r="J14" s="9"/>
      <c r="K14" s="9"/>
      <c r="L14" s="9"/>
    </row>
    <row r="15" ht="13.5" customHeight="1">
      <c r="A15" s="9"/>
      <c r="B15" s="28"/>
      <c r="C15" s="28"/>
      <c r="D15" s="36"/>
      <c r="E15" s="36"/>
      <c r="F15" s="9"/>
      <c r="G15" s="9"/>
      <c r="H15" s="9"/>
      <c r="I15" s="9"/>
      <c r="J15" s="9"/>
      <c r="K15" s="9"/>
      <c r="L15" s="9"/>
    </row>
    <row r="16" ht="13.5" customHeight="1">
      <c r="A16" s="82"/>
      <c r="B16" s="21" t="s">
        <v>649</v>
      </c>
      <c r="C16" s="30"/>
      <c r="D16" s="23"/>
      <c r="E16" s="17"/>
      <c r="F16" s="9"/>
      <c r="G16" s="9"/>
      <c r="H16" s="9"/>
      <c r="I16" s="9"/>
      <c r="J16" s="9"/>
      <c r="K16" s="9"/>
      <c r="L16" s="9"/>
    </row>
    <row r="17" ht="13.5" customHeight="1">
      <c r="A17" s="9"/>
      <c r="B17" s="28" t="s">
        <v>650</v>
      </c>
      <c r="C17" s="113" t="s">
        <v>651</v>
      </c>
      <c r="D17" s="36" t="s">
        <v>252</v>
      </c>
      <c r="E17" s="36">
        <v>4.0</v>
      </c>
      <c r="F17" s="9"/>
      <c r="G17" s="9"/>
      <c r="H17" s="9"/>
      <c r="I17" s="9"/>
      <c r="J17" s="9"/>
      <c r="K17" s="9"/>
      <c r="L17" s="9"/>
    </row>
    <row r="18" ht="13.5" customHeight="1">
      <c r="A18" s="9"/>
      <c r="B18" s="28" t="s">
        <v>652</v>
      </c>
      <c r="C18" s="38" t="s">
        <v>55</v>
      </c>
      <c r="D18" s="36" t="s">
        <v>56</v>
      </c>
      <c r="E18" s="36">
        <v>4.0</v>
      </c>
      <c r="F18" s="9"/>
      <c r="G18" s="9"/>
      <c r="H18" s="9"/>
      <c r="I18" s="9"/>
      <c r="J18" s="9"/>
      <c r="K18" s="9"/>
      <c r="L18" s="9"/>
    </row>
    <row r="19" ht="13.5" customHeight="1">
      <c r="A19" s="9"/>
      <c r="B19" s="28" t="s">
        <v>653</v>
      </c>
      <c r="C19" s="38" t="s">
        <v>182</v>
      </c>
      <c r="D19" s="34" t="s">
        <v>46</v>
      </c>
      <c r="E19" s="36">
        <v>4.0</v>
      </c>
      <c r="F19" s="9"/>
      <c r="G19" s="9"/>
      <c r="H19" s="9"/>
      <c r="I19" s="9"/>
      <c r="J19" s="9"/>
      <c r="K19" s="9"/>
      <c r="L19" s="9"/>
    </row>
    <row r="20" ht="13.5" customHeight="1">
      <c r="A20" s="9"/>
      <c r="B20" s="28" t="s">
        <v>654</v>
      </c>
      <c r="C20" s="38" t="s">
        <v>295</v>
      </c>
      <c r="D20" s="34" t="s">
        <v>48</v>
      </c>
      <c r="E20" s="36">
        <v>4.0</v>
      </c>
      <c r="F20" s="9"/>
      <c r="G20" s="9"/>
      <c r="H20" s="9"/>
      <c r="I20" s="9"/>
      <c r="J20" s="9"/>
      <c r="K20" s="9"/>
      <c r="L20" s="9"/>
    </row>
    <row r="21" ht="13.5" customHeight="1">
      <c r="A21" s="9"/>
      <c r="B21" s="28" t="s">
        <v>655</v>
      </c>
      <c r="C21" s="38" t="s">
        <v>656</v>
      </c>
      <c r="D21" s="36" t="s">
        <v>56</v>
      </c>
      <c r="E21" s="36">
        <v>4.0</v>
      </c>
      <c r="F21" s="9"/>
      <c r="G21" s="9"/>
      <c r="H21" s="9"/>
      <c r="I21" s="9"/>
      <c r="J21" s="9"/>
      <c r="K21" s="9"/>
      <c r="L21" s="9"/>
    </row>
    <row r="22" ht="13.5" customHeight="1">
      <c r="A22" s="9"/>
      <c r="B22" s="28" t="s">
        <v>657</v>
      </c>
      <c r="C22" s="38" t="s">
        <v>326</v>
      </c>
      <c r="D22" s="36" t="s">
        <v>56</v>
      </c>
      <c r="E22" s="36">
        <v>4.0</v>
      </c>
      <c r="F22" s="9"/>
      <c r="G22" s="9"/>
      <c r="H22" s="9"/>
      <c r="I22" s="9"/>
      <c r="J22" s="9"/>
      <c r="K22" s="9"/>
      <c r="L22" s="9"/>
    </row>
    <row r="23" ht="13.5" customHeight="1">
      <c r="B23" s="45"/>
      <c r="C23" s="45"/>
      <c r="D23" s="45"/>
      <c r="E23" s="176"/>
    </row>
    <row r="24" ht="13.5" customHeight="1">
      <c r="B24" s="21" t="s">
        <v>658</v>
      </c>
      <c r="C24" s="216"/>
      <c r="D24" s="25"/>
      <c r="E24" s="176"/>
    </row>
    <row r="25" ht="13.5" customHeight="1">
      <c r="B25" s="28" t="s">
        <v>659</v>
      </c>
      <c r="C25" s="174" t="s">
        <v>392</v>
      </c>
      <c r="D25" s="34" t="s">
        <v>252</v>
      </c>
      <c r="E25" s="36">
        <v>4.0</v>
      </c>
    </row>
    <row r="26" ht="15.75" customHeight="1">
      <c r="B26" s="28" t="s">
        <v>660</v>
      </c>
      <c r="C26" s="38" t="s">
        <v>661</v>
      </c>
      <c r="D26" s="36" t="s">
        <v>56</v>
      </c>
      <c r="E26" s="36">
        <v>4.0</v>
      </c>
    </row>
    <row r="27" ht="13.5" customHeight="1">
      <c r="A27" s="82"/>
      <c r="B27" s="28" t="s">
        <v>662</v>
      </c>
      <c r="C27" s="38" t="s">
        <v>226</v>
      </c>
      <c r="D27" s="36" t="s">
        <v>56</v>
      </c>
      <c r="E27" s="36">
        <v>4.0</v>
      </c>
      <c r="F27" s="9"/>
      <c r="G27" s="9"/>
      <c r="H27" s="9"/>
      <c r="I27" s="9"/>
      <c r="J27" s="9"/>
      <c r="K27" s="9"/>
      <c r="L27" s="9"/>
    </row>
    <row r="28" ht="13.5" customHeight="1">
      <c r="A28" s="9"/>
      <c r="B28" s="28" t="s">
        <v>663</v>
      </c>
      <c r="C28" s="38" t="s">
        <v>127</v>
      </c>
      <c r="D28" s="36"/>
      <c r="E28" s="36">
        <v>4.0</v>
      </c>
      <c r="F28" s="9"/>
      <c r="G28" s="9"/>
      <c r="H28" s="9"/>
      <c r="I28" s="9"/>
      <c r="J28" s="9"/>
      <c r="K28" s="9"/>
      <c r="L28" s="9"/>
    </row>
    <row r="29" ht="13.5" customHeight="1">
      <c r="A29" s="9"/>
      <c r="B29" s="8"/>
      <c r="C29" s="8"/>
      <c r="D29" s="8"/>
      <c r="E29" s="17"/>
      <c r="F29" s="9"/>
      <c r="G29" s="9"/>
      <c r="H29" s="9"/>
      <c r="I29" s="9"/>
      <c r="J29" s="9"/>
      <c r="K29" s="9"/>
      <c r="L29" s="9"/>
    </row>
    <row r="30" ht="13.5" customHeight="1">
      <c r="A30" s="9"/>
      <c r="B30" s="21" t="s">
        <v>664</v>
      </c>
      <c r="C30" s="23"/>
      <c r="D30" s="23"/>
      <c r="E30" s="17"/>
      <c r="F30" s="9"/>
      <c r="G30" s="9"/>
      <c r="H30" s="9"/>
      <c r="I30" s="9"/>
      <c r="J30" s="9"/>
      <c r="K30" s="9"/>
      <c r="L30" s="9"/>
    </row>
    <row r="31" ht="13.5" customHeight="1">
      <c r="A31" s="9"/>
      <c r="B31" s="28" t="s">
        <v>665</v>
      </c>
      <c r="C31" s="38" t="s">
        <v>515</v>
      </c>
      <c r="D31" s="36" t="s">
        <v>56</v>
      </c>
      <c r="E31" s="36">
        <v>4.0</v>
      </c>
      <c r="F31" s="9"/>
      <c r="G31" s="9"/>
      <c r="H31" s="9"/>
      <c r="I31" s="9"/>
      <c r="J31" s="9"/>
      <c r="K31" s="9"/>
      <c r="L31" s="9"/>
    </row>
    <row r="32" ht="13.5" customHeight="1">
      <c r="A32" s="9"/>
      <c r="B32" s="28" t="s">
        <v>666</v>
      </c>
      <c r="C32" s="38" t="s">
        <v>97</v>
      </c>
      <c r="D32" s="36" t="s">
        <v>16</v>
      </c>
      <c r="E32" s="36">
        <v>4.0</v>
      </c>
      <c r="F32" s="9"/>
      <c r="G32" s="9"/>
      <c r="H32" s="9"/>
      <c r="I32" s="9"/>
      <c r="J32" s="9"/>
      <c r="K32" s="9"/>
      <c r="L32" s="9"/>
    </row>
    <row r="33" ht="13.5" customHeight="1">
      <c r="A33" s="82"/>
      <c r="B33" s="28" t="s">
        <v>667</v>
      </c>
      <c r="C33" s="38" t="s">
        <v>117</v>
      </c>
      <c r="D33" s="36" t="s">
        <v>48</v>
      </c>
      <c r="E33" s="36">
        <v>4.0</v>
      </c>
      <c r="F33" s="9"/>
      <c r="G33" s="9"/>
      <c r="H33" s="9"/>
      <c r="I33" s="9"/>
      <c r="J33" s="9"/>
      <c r="K33" s="9"/>
      <c r="L33" s="9"/>
    </row>
    <row r="34" ht="13.5" customHeight="1">
      <c r="A34" s="9"/>
      <c r="B34" s="28" t="s">
        <v>668</v>
      </c>
      <c r="C34" s="38" t="s">
        <v>631</v>
      </c>
      <c r="D34" s="36" t="s">
        <v>56</v>
      </c>
      <c r="E34" s="36">
        <v>4.0</v>
      </c>
      <c r="F34" s="9"/>
      <c r="G34" s="9"/>
      <c r="H34" s="9"/>
      <c r="I34" s="9"/>
      <c r="J34" s="9"/>
      <c r="K34" s="9"/>
      <c r="L34" s="9"/>
    </row>
    <row r="35" ht="13.5" customHeight="1">
      <c r="A35" s="9"/>
      <c r="B35" s="28" t="s">
        <v>669</v>
      </c>
      <c r="C35" s="38" t="s">
        <v>670</v>
      </c>
      <c r="D35" s="36" t="s">
        <v>56</v>
      </c>
      <c r="E35" s="36">
        <v>4.0</v>
      </c>
      <c r="F35" s="9"/>
      <c r="G35" s="9"/>
      <c r="H35" s="9"/>
      <c r="I35" s="9"/>
      <c r="J35" s="9"/>
      <c r="K35" s="9"/>
      <c r="L35" s="9"/>
    </row>
    <row r="36" ht="13.5" customHeight="1">
      <c r="A36" s="9"/>
      <c r="B36" s="8"/>
      <c r="C36" s="8"/>
      <c r="D36" s="8"/>
      <c r="E36" s="17"/>
      <c r="F36" s="9"/>
      <c r="G36" s="9"/>
      <c r="H36" s="9"/>
      <c r="I36" s="9"/>
      <c r="J36" s="9"/>
      <c r="K36" s="9"/>
      <c r="L36" s="9"/>
    </row>
    <row r="37" ht="13.5" customHeight="1">
      <c r="B37" s="21" t="s">
        <v>671</v>
      </c>
      <c r="C37" s="25"/>
      <c r="D37" s="25"/>
      <c r="E37" s="176"/>
    </row>
    <row r="38" ht="13.5" customHeight="1">
      <c r="B38" s="28" t="s">
        <v>672</v>
      </c>
      <c r="C38" s="38" t="s">
        <v>108</v>
      </c>
      <c r="D38" s="36" t="s">
        <v>56</v>
      </c>
      <c r="E38" s="36">
        <v>4.0</v>
      </c>
    </row>
    <row r="39" ht="13.5" customHeight="1">
      <c r="B39" s="28" t="s">
        <v>673</v>
      </c>
      <c r="C39" s="38" t="s">
        <v>507</v>
      </c>
      <c r="D39" s="36" t="s">
        <v>48</v>
      </c>
      <c r="E39" s="36">
        <v>4.0</v>
      </c>
    </row>
    <row r="40" ht="13.5" customHeight="1">
      <c r="A40" s="82"/>
      <c r="B40" s="28" t="s">
        <v>674</v>
      </c>
      <c r="C40" s="38" t="s">
        <v>631</v>
      </c>
      <c r="D40" s="36" t="s">
        <v>56</v>
      </c>
      <c r="E40" s="36">
        <v>4.0</v>
      </c>
      <c r="F40" s="9"/>
      <c r="G40" s="9"/>
      <c r="H40" s="9"/>
      <c r="I40" s="9"/>
      <c r="J40" s="9"/>
      <c r="K40" s="9"/>
      <c r="L40" s="9"/>
    </row>
    <row r="41" ht="13.5" customHeight="1">
      <c r="A41" s="9"/>
      <c r="B41" s="28" t="s">
        <v>675</v>
      </c>
      <c r="C41" s="52" t="s">
        <v>537</v>
      </c>
      <c r="D41" s="36" t="s">
        <v>56</v>
      </c>
      <c r="E41" s="36">
        <v>4.0</v>
      </c>
      <c r="F41" s="9"/>
      <c r="G41" s="9"/>
      <c r="H41" s="9"/>
      <c r="I41" s="9"/>
      <c r="J41" s="9"/>
      <c r="K41" s="9"/>
      <c r="L41" s="9"/>
    </row>
    <row r="42" ht="13.5" customHeight="1">
      <c r="A42" s="9"/>
      <c r="F42" s="7"/>
      <c r="G42" s="279"/>
      <c r="H42" s="35"/>
      <c r="I42" s="9"/>
      <c r="J42" s="9"/>
      <c r="K42" s="9"/>
      <c r="L42" s="5"/>
      <c r="M42" s="5"/>
      <c r="N42" s="5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9"/>
      <c r="B43" s="21" t="s">
        <v>676</v>
      </c>
      <c r="C43" s="17"/>
      <c r="D43" s="8"/>
      <c r="E43" s="17"/>
      <c r="F43" s="279"/>
      <c r="G43" s="280"/>
      <c r="H43" s="35"/>
      <c r="I43" s="9"/>
      <c r="J43" s="9"/>
      <c r="K43" s="9"/>
      <c r="L43" s="5"/>
      <c r="M43" s="5"/>
      <c r="N43" s="5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9"/>
      <c r="B44" s="28" t="s">
        <v>677</v>
      </c>
      <c r="C44" s="38" t="s">
        <v>670</v>
      </c>
      <c r="D44" s="36" t="s">
        <v>56</v>
      </c>
      <c r="E44" s="36">
        <v>4.0</v>
      </c>
      <c r="F44" s="279"/>
      <c r="G44" s="280"/>
      <c r="H44" s="35"/>
      <c r="I44" s="9"/>
      <c r="J44" s="9"/>
      <c r="K44" s="9"/>
      <c r="L44" s="5"/>
      <c r="M44" s="5"/>
      <c r="N44" s="5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9"/>
      <c r="B45" s="28" t="s">
        <v>678</v>
      </c>
      <c r="C45" s="38" t="s">
        <v>117</v>
      </c>
      <c r="D45" s="36" t="s">
        <v>48</v>
      </c>
      <c r="E45" s="36">
        <v>4.0</v>
      </c>
      <c r="F45" s="279"/>
      <c r="G45" s="280"/>
      <c r="H45" s="35"/>
      <c r="I45" s="9"/>
      <c r="J45" s="9"/>
      <c r="K45" s="9"/>
      <c r="L45" s="5"/>
      <c r="M45" s="5"/>
      <c r="N45" s="5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9"/>
      <c r="B46" s="28" t="s">
        <v>679</v>
      </c>
      <c r="C46" s="38" t="s">
        <v>295</v>
      </c>
      <c r="D46" s="36" t="s">
        <v>48</v>
      </c>
      <c r="E46" s="36">
        <v>4.0</v>
      </c>
      <c r="F46" s="279"/>
      <c r="G46" s="280"/>
      <c r="H46" s="35"/>
      <c r="I46" s="9"/>
      <c r="J46" s="9"/>
      <c r="K46" s="9"/>
      <c r="L46" s="5"/>
      <c r="M46" s="5"/>
      <c r="N46" s="5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9"/>
      <c r="B47" s="28" t="s">
        <v>680</v>
      </c>
      <c r="C47" s="248" t="s">
        <v>565</v>
      </c>
      <c r="D47" s="36" t="s">
        <v>56</v>
      </c>
      <c r="E47" s="36">
        <v>4.0</v>
      </c>
      <c r="F47" s="279"/>
      <c r="G47" s="280"/>
      <c r="H47" s="35"/>
      <c r="I47" s="9"/>
      <c r="J47" s="9"/>
      <c r="K47" s="9"/>
      <c r="L47" s="5"/>
      <c r="M47" s="5"/>
      <c r="N47" s="5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9"/>
      <c r="B48" s="281"/>
      <c r="C48" s="17"/>
      <c r="D48" s="8"/>
      <c r="E48" s="17"/>
      <c r="F48" s="279"/>
      <c r="G48" s="280"/>
      <c r="H48" s="35"/>
      <c r="I48" s="9"/>
      <c r="J48" s="9"/>
      <c r="K48" s="9"/>
      <c r="L48" s="5"/>
      <c r="M48" s="5"/>
      <c r="N48" s="5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9"/>
      <c r="B49" s="80" t="s">
        <v>681</v>
      </c>
      <c r="C49" s="17"/>
      <c r="D49" s="8"/>
      <c r="E49" s="17"/>
      <c r="F49" s="279"/>
      <c r="G49" s="280"/>
      <c r="H49" s="35"/>
      <c r="I49" s="9"/>
      <c r="J49" s="9"/>
      <c r="K49" s="9"/>
      <c r="L49" s="5"/>
      <c r="M49" s="5"/>
      <c r="N49" s="5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9"/>
      <c r="B50" s="28" t="s">
        <v>682</v>
      </c>
      <c r="C50" s="38" t="s">
        <v>670</v>
      </c>
      <c r="D50" s="36" t="s">
        <v>56</v>
      </c>
      <c r="E50" s="36">
        <v>4.0</v>
      </c>
      <c r="F50" s="279"/>
      <c r="G50" s="280"/>
      <c r="H50" s="35"/>
      <c r="I50" s="9"/>
      <c r="J50" s="9"/>
      <c r="K50" s="9"/>
      <c r="L50" s="5"/>
      <c r="M50" s="5"/>
      <c r="N50" s="5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9"/>
      <c r="B51" s="28" t="s">
        <v>683</v>
      </c>
      <c r="C51" s="38" t="s">
        <v>108</v>
      </c>
      <c r="D51" s="36" t="s">
        <v>56</v>
      </c>
      <c r="E51" s="34">
        <v>6.0</v>
      </c>
      <c r="F51" s="279"/>
      <c r="G51" s="280"/>
      <c r="H51" s="35"/>
      <c r="I51" s="9"/>
      <c r="J51" s="9"/>
      <c r="K51" s="9"/>
      <c r="L51" s="5"/>
      <c r="M51" s="5"/>
      <c r="N51" s="5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9"/>
      <c r="B52" s="281"/>
      <c r="C52" s="17"/>
      <c r="D52" s="8"/>
      <c r="E52" s="17"/>
      <c r="F52" s="279"/>
      <c r="G52" s="280"/>
      <c r="H52" s="35"/>
      <c r="I52" s="9"/>
      <c r="J52" s="9"/>
      <c r="K52" s="9"/>
      <c r="L52" s="5"/>
      <c r="M52" s="5"/>
      <c r="N52" s="5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9"/>
      <c r="B53" s="281"/>
      <c r="C53" s="17"/>
      <c r="D53" s="8"/>
      <c r="E53" s="17"/>
      <c r="F53" s="279"/>
      <c r="G53" s="280"/>
      <c r="H53" s="35"/>
      <c r="I53" s="9"/>
      <c r="J53" s="9"/>
      <c r="K53" s="9"/>
      <c r="L53" s="5"/>
      <c r="M53" s="5"/>
      <c r="N53" s="5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9"/>
      <c r="B54" s="281"/>
      <c r="C54" s="17"/>
      <c r="D54" s="8"/>
      <c r="E54" s="17"/>
      <c r="F54" s="279"/>
      <c r="G54" s="280"/>
      <c r="H54" s="35"/>
      <c r="I54" s="9"/>
      <c r="J54" s="9"/>
      <c r="K54" s="9"/>
      <c r="L54" s="5"/>
      <c r="M54" s="5"/>
      <c r="N54" s="5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9"/>
      <c r="B55" s="281"/>
      <c r="C55" s="17"/>
      <c r="D55" s="8"/>
      <c r="E55" s="17"/>
      <c r="F55" s="279"/>
      <c r="G55" s="280"/>
      <c r="H55" s="35"/>
      <c r="I55" s="9"/>
      <c r="J55" s="9"/>
      <c r="K55" s="9"/>
      <c r="L55" s="5"/>
      <c r="M55" s="5"/>
      <c r="N55" s="5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9"/>
      <c r="B56" s="281"/>
      <c r="C56" s="17"/>
      <c r="D56" s="8"/>
      <c r="E56" s="17"/>
      <c r="F56" s="279"/>
      <c r="G56" s="280"/>
      <c r="H56" s="35"/>
      <c r="I56" s="9"/>
      <c r="J56" s="9"/>
      <c r="K56" s="9"/>
      <c r="L56" s="5"/>
      <c r="M56" s="5"/>
      <c r="N56" s="5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9"/>
      <c r="B57" s="281"/>
      <c r="C57" s="17"/>
      <c r="D57" s="8"/>
      <c r="E57" s="17"/>
      <c r="F57" s="279"/>
      <c r="G57" s="280"/>
      <c r="H57" s="35"/>
      <c r="I57" s="9"/>
      <c r="J57" s="9"/>
      <c r="K57" s="9"/>
      <c r="L57" s="5"/>
      <c r="M57" s="5"/>
      <c r="N57" s="5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9"/>
      <c r="B58" s="281"/>
      <c r="C58" s="17"/>
      <c r="D58" s="8"/>
      <c r="E58" s="17"/>
      <c r="F58" s="279"/>
      <c r="G58" s="280"/>
      <c r="H58" s="35"/>
      <c r="I58" s="9"/>
      <c r="J58" s="9"/>
      <c r="K58" s="9"/>
      <c r="L58" s="5"/>
      <c r="M58" s="5"/>
      <c r="N58" s="5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9"/>
      <c r="B59" s="281"/>
      <c r="C59" s="17"/>
      <c r="D59" s="8"/>
      <c r="E59" s="17"/>
      <c r="F59" s="279"/>
      <c r="G59" s="280"/>
      <c r="H59" s="35"/>
      <c r="I59" s="9"/>
      <c r="J59" s="9"/>
      <c r="K59" s="9"/>
      <c r="L59" s="5"/>
      <c r="M59" s="5"/>
      <c r="N59" s="5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9"/>
      <c r="B60" s="281"/>
      <c r="C60" s="17"/>
      <c r="D60" s="8"/>
      <c r="E60" s="17"/>
      <c r="F60" s="279"/>
      <c r="G60" s="280"/>
      <c r="H60" s="35"/>
      <c r="I60" s="9"/>
      <c r="J60" s="9"/>
      <c r="K60" s="9"/>
      <c r="L60" s="5"/>
      <c r="M60" s="5"/>
      <c r="N60" s="5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9"/>
      <c r="B61" s="35"/>
      <c r="C61" s="9"/>
      <c r="D61" s="9"/>
      <c r="E61" s="9"/>
      <c r="F61" s="5"/>
      <c r="G61" s="5"/>
      <c r="H61" s="5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3.5" customHeight="1">
      <c r="A62" s="9"/>
      <c r="B62" s="35"/>
      <c r="C62" s="9"/>
      <c r="D62" s="9"/>
      <c r="E62" s="9"/>
      <c r="F62" s="5"/>
      <c r="G62" s="5"/>
      <c r="H62" s="5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3.5" customHeight="1">
      <c r="A63" s="9"/>
      <c r="B63" s="35"/>
      <c r="C63" s="9"/>
      <c r="D63" s="9"/>
      <c r="E63" s="9"/>
      <c r="F63" s="5"/>
      <c r="G63" s="5"/>
      <c r="H63" s="5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30.75" customHeight="1">
      <c r="A64" s="9"/>
      <c r="B64" s="62"/>
      <c r="C64" s="87" t="s">
        <v>684</v>
      </c>
      <c r="D64" s="13" t="s">
        <v>207</v>
      </c>
      <c r="E64" s="13" t="s">
        <v>208</v>
      </c>
      <c r="F64" s="13" t="s">
        <v>445</v>
      </c>
      <c r="G64" s="13" t="s">
        <v>210</v>
      </c>
      <c r="H64" s="13" t="s">
        <v>211</v>
      </c>
      <c r="I64" s="13" t="s">
        <v>212</v>
      </c>
      <c r="J64" s="13" t="s">
        <v>213</v>
      </c>
      <c r="K64" s="106" t="s">
        <v>214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62">
        <v>1.0</v>
      </c>
      <c r="C65" s="38" t="s">
        <v>656</v>
      </c>
      <c r="D65" s="35">
        <f t="shared" ref="D65:D79" si="1">COUNTIF($C$40:$C$61,C65)</f>
        <v>0</v>
      </c>
      <c r="E65" s="92">
        <f>'Asignación-Profesor'!D194-D65</f>
        <v>1</v>
      </c>
      <c r="F65" s="35">
        <f>E65+D65</f>
        <v>1</v>
      </c>
      <c r="G65" s="35">
        <f>'Asignación-Profesor'!P194</f>
        <v>0</v>
      </c>
      <c r="H65" s="35">
        <f>'Asignación-Profesor'!Q194</f>
        <v>4</v>
      </c>
      <c r="I65" s="9"/>
      <c r="J65" s="9"/>
      <c r="K65" s="285" t="s">
        <v>686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62">
        <v>2.0</v>
      </c>
      <c r="C66" s="38" t="s">
        <v>71</v>
      </c>
      <c r="D66" s="35">
        <f t="shared" si="1"/>
        <v>0</v>
      </c>
      <c r="E66" s="92">
        <f>'Asignación-Profesor'!D195-D66</f>
        <v>3</v>
      </c>
      <c r="F66" s="35">
        <f t="shared" ref="F66:F70" si="2">E67+D67</f>
        <v>2</v>
      </c>
      <c r="G66" s="35">
        <f>'Asignación-Profesor'!P195</f>
        <v>62</v>
      </c>
      <c r="H66" s="35">
        <f>'Asignación-Profesor'!Q195</f>
        <v>13</v>
      </c>
      <c r="I66" s="9"/>
      <c r="J66" s="9"/>
      <c r="K66" s="285" t="s">
        <v>686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62">
        <v>3.0</v>
      </c>
      <c r="C67" s="38" t="s">
        <v>595</v>
      </c>
      <c r="D67" s="35">
        <f t="shared" si="1"/>
        <v>0</v>
      </c>
      <c r="E67" s="92">
        <f>'Asignación-Profesor'!D196-D67</f>
        <v>2</v>
      </c>
      <c r="F67" s="35">
        <f t="shared" si="2"/>
        <v>0</v>
      </c>
      <c r="G67" s="35">
        <f>'Asignación-Profesor'!P196</f>
        <v>14</v>
      </c>
      <c r="H67" s="35">
        <f>'Asignación-Profesor'!Q196</f>
        <v>9</v>
      </c>
      <c r="I67" s="9"/>
      <c r="J67" s="9"/>
      <c r="K67" s="285" t="s">
        <v>686</v>
      </c>
      <c r="L67" s="9"/>
      <c r="M67" s="82" t="s">
        <v>689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62">
        <v>4.0</v>
      </c>
      <c r="C68" s="52" t="s">
        <v>537</v>
      </c>
      <c r="D68" s="35">
        <f t="shared" si="1"/>
        <v>1</v>
      </c>
      <c r="E68" s="92">
        <f>'Asignación-Profesor'!D197-D68</f>
        <v>-1</v>
      </c>
      <c r="F68" s="35">
        <f t="shared" si="2"/>
        <v>3</v>
      </c>
      <c r="G68" s="35">
        <f>'Asignación-Profesor'!P197</f>
        <v>0</v>
      </c>
      <c r="H68" s="35">
        <f>'Asignación-Profesor'!Q197</f>
        <v>0</v>
      </c>
      <c r="I68" s="9"/>
      <c r="J68" s="9"/>
      <c r="K68" s="285" t="s">
        <v>686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62">
        <v>5.0</v>
      </c>
      <c r="C69" s="38" t="s">
        <v>515</v>
      </c>
      <c r="D69" s="35">
        <f t="shared" si="1"/>
        <v>0</v>
      </c>
      <c r="E69" s="92">
        <f>'Asignación-Profesor'!D198-D69</f>
        <v>3</v>
      </c>
      <c r="F69" s="35">
        <f t="shared" si="2"/>
        <v>4</v>
      </c>
      <c r="G69" s="35">
        <f>'Asignación-Profesor'!P198</f>
        <v>28</v>
      </c>
      <c r="H69" s="35">
        <f>'Asignación-Profesor'!Q198</f>
        <v>14</v>
      </c>
      <c r="I69" s="9"/>
      <c r="J69" s="9"/>
      <c r="K69" s="285" t="s">
        <v>686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62">
        <v>6.0</v>
      </c>
      <c r="C70" s="38" t="s">
        <v>75</v>
      </c>
      <c r="D70" s="35">
        <f t="shared" si="1"/>
        <v>0</v>
      </c>
      <c r="E70" s="92">
        <f>'Asignación-Profesor'!D199-D70</f>
        <v>4</v>
      </c>
      <c r="F70" s="35">
        <f t="shared" si="2"/>
        <v>3</v>
      </c>
      <c r="G70" s="35">
        <f>'Asignación-Profesor'!P199</f>
        <v>25</v>
      </c>
      <c r="H70" s="35">
        <f>'Asignación-Profesor'!Q199</f>
        <v>19</v>
      </c>
      <c r="I70" s="9"/>
      <c r="J70" s="9"/>
      <c r="K70" s="285" t="s">
        <v>686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62">
        <v>7.0</v>
      </c>
      <c r="C71" s="38" t="s">
        <v>326</v>
      </c>
      <c r="D71" s="35">
        <f t="shared" si="1"/>
        <v>0</v>
      </c>
      <c r="E71" s="92">
        <f>'Asignación-Profesor'!D200-D71</f>
        <v>3</v>
      </c>
      <c r="F71" s="35">
        <f t="shared" ref="F71:F79" si="3">E71+D71</f>
        <v>3</v>
      </c>
      <c r="G71" s="35">
        <f>'Asignación-Profesor'!P200</f>
        <v>51</v>
      </c>
      <c r="H71" s="35">
        <f>'Asignación-Profesor'!Q200</f>
        <v>14</v>
      </c>
      <c r="I71" s="9"/>
      <c r="J71" s="9"/>
      <c r="K71" s="290" t="s">
        <v>690</v>
      </c>
      <c r="L71" s="9"/>
      <c r="M71" s="82" t="s">
        <v>691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62">
        <v>8.0</v>
      </c>
      <c r="C72" s="38" t="s">
        <v>661</v>
      </c>
      <c r="D72" s="35">
        <f t="shared" si="1"/>
        <v>0</v>
      </c>
      <c r="E72" s="92">
        <f>'Asignación-Profesor'!D201-D72</f>
        <v>1</v>
      </c>
      <c r="F72" s="35">
        <f t="shared" si="3"/>
        <v>1</v>
      </c>
      <c r="G72" s="35">
        <f>'Asignación-Profesor'!P201</f>
        <v>0</v>
      </c>
      <c r="H72" s="35">
        <f>'Asignación-Profesor'!Q201</f>
        <v>4</v>
      </c>
      <c r="I72" s="9"/>
      <c r="J72" s="9"/>
      <c r="K72" s="285" t="s">
        <v>686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62">
        <v>9.0</v>
      </c>
      <c r="C73" s="38" t="s">
        <v>670</v>
      </c>
      <c r="D73" s="35">
        <f t="shared" si="1"/>
        <v>2</v>
      </c>
      <c r="E73" s="92">
        <f>'Asignación-Profesor'!D202-D73</f>
        <v>1</v>
      </c>
      <c r="F73" s="35">
        <f t="shared" si="3"/>
        <v>3</v>
      </c>
      <c r="G73" s="35">
        <f>'Asignación-Profesor'!P202</f>
        <v>0</v>
      </c>
      <c r="H73" s="35">
        <f>'Asignación-Profesor'!Q202</f>
        <v>12</v>
      </c>
      <c r="I73" s="9"/>
      <c r="J73" s="9"/>
      <c r="K73" s="285" t="s">
        <v>686</v>
      </c>
      <c r="L73" s="9"/>
      <c r="M73" s="82" t="s">
        <v>692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62">
        <v>10.0</v>
      </c>
      <c r="C74" s="38" t="s">
        <v>60</v>
      </c>
      <c r="D74" s="35">
        <f t="shared" si="1"/>
        <v>0</v>
      </c>
      <c r="E74" s="92">
        <f>'Asignación-Profesor'!D203-D74</f>
        <v>3</v>
      </c>
      <c r="F74" s="35">
        <f t="shared" si="3"/>
        <v>3</v>
      </c>
      <c r="G74" s="35">
        <f>'Asignación-Profesor'!P203</f>
        <v>7</v>
      </c>
      <c r="H74" s="35">
        <f>'Asignación-Profesor'!Q203</f>
        <v>14</v>
      </c>
      <c r="I74" s="9"/>
      <c r="J74" s="60"/>
      <c r="K74" s="285" t="s">
        <v>686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62">
        <v>11.0</v>
      </c>
      <c r="C75" s="38" t="s">
        <v>226</v>
      </c>
      <c r="D75" s="35">
        <f t="shared" si="1"/>
        <v>0</v>
      </c>
      <c r="E75" s="92">
        <f>'Asignación-Profesor'!D204-D75</f>
        <v>3</v>
      </c>
      <c r="F75" s="35">
        <f t="shared" si="3"/>
        <v>3</v>
      </c>
      <c r="G75" s="35">
        <f>'Asignación-Profesor'!P204</f>
        <v>80</v>
      </c>
      <c r="H75" s="35">
        <f>'Asignación-Profesor'!Q204</f>
        <v>14</v>
      </c>
      <c r="I75" s="9"/>
      <c r="J75" s="9"/>
      <c r="K75" s="285" t="s">
        <v>686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62">
        <v>12.0</v>
      </c>
      <c r="C76" s="38" t="s">
        <v>108</v>
      </c>
      <c r="D76" s="35">
        <f t="shared" si="1"/>
        <v>1</v>
      </c>
      <c r="E76" s="92">
        <f>'Asignación-Profesor'!D205-D76</f>
        <v>2</v>
      </c>
      <c r="F76" s="35">
        <f t="shared" si="3"/>
        <v>3</v>
      </c>
      <c r="G76" s="35">
        <f>'Asignación-Profesor'!P205</f>
        <v>0</v>
      </c>
      <c r="H76" s="35">
        <f>'Asignación-Profesor'!Q205</f>
        <v>15</v>
      </c>
      <c r="I76" s="193"/>
      <c r="J76" s="292"/>
      <c r="K76" s="290" t="s">
        <v>690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62">
        <v>13.0</v>
      </c>
      <c r="C77" s="38" t="s">
        <v>631</v>
      </c>
      <c r="D77" s="35">
        <f t="shared" si="1"/>
        <v>1</v>
      </c>
      <c r="E77" s="92">
        <f>'Asignación-Profesor'!D206-D77</f>
        <v>2</v>
      </c>
      <c r="F77" s="35">
        <f t="shared" si="3"/>
        <v>3</v>
      </c>
      <c r="G77" s="35">
        <f>'Asignación-Profesor'!P206</f>
        <v>5</v>
      </c>
      <c r="H77" s="35">
        <f>'Asignación-Profesor'!Q206</f>
        <v>13</v>
      </c>
      <c r="I77" s="193"/>
      <c r="J77" s="292"/>
      <c r="K77" s="285" t="s">
        <v>686</v>
      </c>
      <c r="L77" s="9"/>
      <c r="M77" s="82" t="s">
        <v>693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62">
        <v>14.0</v>
      </c>
      <c r="C78" s="173" t="s">
        <v>636</v>
      </c>
      <c r="D78" s="35">
        <f t="shared" si="1"/>
        <v>0</v>
      </c>
      <c r="E78" s="92">
        <f>'Asignación-Profesor'!D207-D78</f>
        <v>2</v>
      </c>
      <c r="F78" s="35">
        <f t="shared" si="3"/>
        <v>2</v>
      </c>
      <c r="G78" s="35">
        <f>'Asignación-Profesor'!P207</f>
        <v>5</v>
      </c>
      <c r="H78" s="35">
        <f>'Asignación-Profesor'!Q207</f>
        <v>9</v>
      </c>
      <c r="I78" s="193"/>
      <c r="J78" s="292"/>
      <c r="K78" s="285" t="s">
        <v>686</v>
      </c>
      <c r="L78" s="9"/>
      <c r="M78" s="82" t="s">
        <v>694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62">
        <v>15.0</v>
      </c>
      <c r="C79" s="38" t="s">
        <v>55</v>
      </c>
      <c r="D79" s="35">
        <f t="shared" si="1"/>
        <v>0</v>
      </c>
      <c r="E79" s="92">
        <f>'Asignación-Profesor'!D208-D79</f>
        <v>4</v>
      </c>
      <c r="F79" s="35">
        <f t="shared" si="3"/>
        <v>4</v>
      </c>
      <c r="G79" s="35">
        <f>'Asignación-Profesor'!P208</f>
        <v>28</v>
      </c>
      <c r="H79" s="35">
        <f>'Asignación-Profesor'!Q208</f>
        <v>16</v>
      </c>
      <c r="I79" s="193"/>
      <c r="J79" s="195"/>
      <c r="K79" s="93" t="s">
        <v>686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B80" s="62"/>
      <c r="C80" s="45"/>
      <c r="G80" s="201"/>
      <c r="H80" s="201"/>
    </row>
    <row r="81" ht="13.5" customHeight="1">
      <c r="G81" s="201"/>
      <c r="H81" s="201"/>
    </row>
    <row r="82" ht="13.5" customHeight="1">
      <c r="G82" s="201"/>
      <c r="H82" s="201"/>
    </row>
    <row r="83" ht="13.5" customHeight="1">
      <c r="G83" s="201"/>
      <c r="H83" s="201"/>
    </row>
    <row r="84" ht="13.5" customHeight="1">
      <c r="G84" s="201"/>
      <c r="H84" s="201"/>
    </row>
    <row r="85" ht="13.5" customHeight="1">
      <c r="G85" s="201"/>
      <c r="H85" s="201"/>
    </row>
    <row r="86" ht="13.5" customHeight="1">
      <c r="G86" s="201"/>
      <c r="H86" s="201"/>
    </row>
    <row r="87" ht="13.5" customHeight="1">
      <c r="G87" s="201"/>
      <c r="H87" s="201"/>
    </row>
    <row r="88" ht="13.5" customHeight="1">
      <c r="G88" s="201"/>
      <c r="H88" s="201"/>
    </row>
    <row r="89" ht="13.5" customHeight="1">
      <c r="G89" s="201"/>
      <c r="H89" s="201"/>
    </row>
    <row r="90" ht="13.5" customHeight="1">
      <c r="G90" s="201"/>
      <c r="H90" s="201"/>
    </row>
    <row r="91" ht="13.5" customHeight="1">
      <c r="G91" s="201"/>
      <c r="H91" s="201"/>
    </row>
    <row r="92" ht="13.5" customHeight="1">
      <c r="G92" s="201"/>
      <c r="H92" s="201"/>
    </row>
    <row r="93" ht="13.5" customHeight="1">
      <c r="G93" s="201"/>
      <c r="H93" s="201"/>
    </row>
    <row r="94" ht="13.5" customHeight="1">
      <c r="G94" s="201"/>
      <c r="H94" s="201"/>
    </row>
    <row r="95" ht="13.5" customHeight="1">
      <c r="G95" s="201"/>
      <c r="H95" s="201"/>
    </row>
    <row r="96" ht="13.5" customHeight="1">
      <c r="G96" s="201"/>
      <c r="H96" s="201"/>
    </row>
    <row r="97" ht="13.5" customHeight="1">
      <c r="G97" s="201"/>
      <c r="H97" s="201"/>
    </row>
    <row r="98" ht="13.5" customHeight="1">
      <c r="G98" s="201"/>
      <c r="H98" s="201"/>
    </row>
    <row r="99" ht="13.5" customHeight="1">
      <c r="G99" s="201"/>
      <c r="H99" s="201"/>
    </row>
    <row r="100" ht="13.5" customHeight="1">
      <c r="G100" s="201"/>
      <c r="H100" s="201"/>
    </row>
    <row r="101" ht="13.5" customHeight="1">
      <c r="G101" s="201"/>
      <c r="H101" s="201"/>
    </row>
    <row r="102" ht="13.5" customHeight="1">
      <c r="G102" s="201"/>
      <c r="H102" s="201"/>
    </row>
    <row r="103" ht="13.5" customHeight="1">
      <c r="G103" s="201"/>
      <c r="H103" s="201"/>
    </row>
    <row r="104" ht="13.5" customHeight="1">
      <c r="G104" s="201"/>
      <c r="H104" s="201"/>
    </row>
    <row r="105" ht="13.5" customHeight="1">
      <c r="G105" s="201"/>
      <c r="H105" s="201"/>
    </row>
    <row r="106" ht="13.5" customHeight="1">
      <c r="G106" s="201"/>
      <c r="H106" s="201"/>
    </row>
    <row r="107" ht="13.5" customHeight="1">
      <c r="G107" s="201"/>
      <c r="H107" s="201"/>
    </row>
    <row r="108" ht="13.5" customHeight="1">
      <c r="G108" s="201"/>
      <c r="H108" s="201"/>
    </row>
    <row r="109" ht="13.5" customHeight="1">
      <c r="G109" s="201"/>
      <c r="H109" s="201"/>
    </row>
    <row r="110" ht="13.5" customHeight="1">
      <c r="G110" s="201"/>
      <c r="H110" s="201"/>
    </row>
    <row r="111" ht="13.5" customHeight="1">
      <c r="G111" s="201"/>
      <c r="H111" s="201"/>
    </row>
    <row r="112" ht="13.5" customHeight="1">
      <c r="G112" s="201"/>
      <c r="H112" s="201"/>
    </row>
    <row r="113" ht="13.5" customHeight="1">
      <c r="G113" s="201"/>
      <c r="H113" s="201"/>
    </row>
    <row r="114" ht="13.5" customHeight="1">
      <c r="G114" s="201"/>
      <c r="H114" s="201"/>
    </row>
    <row r="115" ht="13.5" customHeight="1">
      <c r="G115" s="201"/>
      <c r="H115" s="201"/>
    </row>
    <row r="116" ht="13.5" customHeight="1">
      <c r="G116" s="201"/>
      <c r="H116" s="201"/>
    </row>
    <row r="117" ht="13.5" customHeight="1">
      <c r="G117" s="201"/>
      <c r="H117" s="201"/>
    </row>
    <row r="118" ht="13.5" customHeight="1">
      <c r="G118" s="201"/>
      <c r="H118" s="201"/>
    </row>
    <row r="119" ht="13.5" customHeight="1">
      <c r="G119" s="201"/>
      <c r="H119" s="201"/>
    </row>
    <row r="120" ht="13.5" customHeight="1">
      <c r="G120" s="201"/>
      <c r="H120" s="201"/>
    </row>
    <row r="121" ht="13.5" customHeight="1">
      <c r="G121" s="201"/>
      <c r="H121" s="201"/>
    </row>
    <row r="122" ht="13.5" customHeight="1">
      <c r="G122" s="201"/>
      <c r="H122" s="201"/>
    </row>
    <row r="123" ht="13.5" customHeight="1">
      <c r="G123" s="201"/>
      <c r="H123" s="201"/>
    </row>
    <row r="124" ht="13.5" customHeight="1">
      <c r="G124" s="201"/>
      <c r="H124" s="201"/>
    </row>
    <row r="125" ht="13.5" customHeight="1">
      <c r="G125" s="201"/>
      <c r="H125" s="201"/>
    </row>
    <row r="126" ht="13.5" customHeight="1">
      <c r="G126" s="201"/>
      <c r="H126" s="201"/>
    </row>
    <row r="127" ht="13.5" customHeight="1">
      <c r="G127" s="201"/>
      <c r="H127" s="201"/>
    </row>
    <row r="128" ht="13.5" customHeight="1">
      <c r="G128" s="201"/>
      <c r="H128" s="201"/>
    </row>
    <row r="129" ht="13.5" customHeight="1">
      <c r="G129" s="201"/>
      <c r="H129" s="201"/>
    </row>
    <row r="130" ht="13.5" customHeight="1">
      <c r="G130" s="201"/>
      <c r="H130" s="201"/>
    </row>
    <row r="131" ht="13.5" customHeight="1">
      <c r="G131" s="201"/>
      <c r="H131" s="201"/>
    </row>
    <row r="132" ht="13.5" customHeight="1">
      <c r="G132" s="201"/>
      <c r="H132" s="201"/>
    </row>
    <row r="133" ht="13.5" customHeight="1">
      <c r="G133" s="201"/>
      <c r="H133" s="201"/>
    </row>
    <row r="134" ht="13.5" customHeight="1">
      <c r="G134" s="201"/>
      <c r="H134" s="201"/>
    </row>
    <row r="135" ht="13.5" customHeight="1">
      <c r="G135" s="201"/>
      <c r="H135" s="201"/>
    </row>
    <row r="136" ht="13.5" customHeight="1">
      <c r="G136" s="201"/>
      <c r="H136" s="201"/>
    </row>
    <row r="137" ht="13.5" customHeight="1">
      <c r="G137" s="201"/>
      <c r="H137" s="201"/>
    </row>
    <row r="138" ht="13.5" customHeight="1">
      <c r="G138" s="201"/>
      <c r="H138" s="201"/>
    </row>
    <row r="139" ht="13.5" customHeight="1">
      <c r="G139" s="201"/>
      <c r="H139" s="201"/>
    </row>
    <row r="140" ht="13.5" customHeight="1">
      <c r="G140" s="201"/>
      <c r="H140" s="201"/>
    </row>
    <row r="141" ht="13.5" customHeight="1">
      <c r="G141" s="201"/>
      <c r="H141" s="201"/>
    </row>
    <row r="142" ht="13.5" customHeight="1">
      <c r="G142" s="201"/>
      <c r="H142" s="201"/>
    </row>
    <row r="143" ht="13.5" customHeight="1">
      <c r="G143" s="201"/>
      <c r="H143" s="201"/>
    </row>
    <row r="144" ht="13.5" customHeight="1">
      <c r="G144" s="201"/>
      <c r="H144" s="201"/>
    </row>
    <row r="145" ht="13.5" customHeight="1">
      <c r="G145" s="201"/>
      <c r="H145" s="201"/>
    </row>
    <row r="146" ht="13.5" customHeight="1">
      <c r="G146" s="201"/>
      <c r="H146" s="201"/>
    </row>
    <row r="147" ht="13.5" customHeight="1">
      <c r="G147" s="201"/>
      <c r="H147" s="201"/>
    </row>
    <row r="148" ht="13.5" customHeight="1">
      <c r="G148" s="201"/>
      <c r="H148" s="201"/>
    </row>
    <row r="149" ht="13.5" customHeight="1">
      <c r="G149" s="201"/>
      <c r="H149" s="201"/>
    </row>
    <row r="150" ht="13.5" customHeight="1">
      <c r="G150" s="201"/>
      <c r="H150" s="201"/>
    </row>
    <row r="151" ht="13.5" customHeight="1">
      <c r="G151" s="201"/>
      <c r="H151" s="201"/>
    </row>
    <row r="152" ht="13.5" customHeight="1">
      <c r="G152" s="201"/>
      <c r="H152" s="201"/>
    </row>
    <row r="153" ht="13.5" customHeight="1">
      <c r="G153" s="201"/>
      <c r="H153" s="201"/>
    </row>
    <row r="154" ht="13.5" customHeight="1">
      <c r="G154" s="201"/>
      <c r="H154" s="201"/>
    </row>
    <row r="155" ht="13.5" customHeight="1">
      <c r="G155" s="201"/>
      <c r="H155" s="201"/>
    </row>
    <row r="156" ht="13.5" customHeight="1">
      <c r="G156" s="201"/>
      <c r="H156" s="201"/>
    </row>
    <row r="157" ht="13.5" customHeight="1">
      <c r="G157" s="201"/>
      <c r="H157" s="201"/>
    </row>
    <row r="158" ht="13.5" customHeight="1">
      <c r="G158" s="201"/>
      <c r="H158" s="201"/>
    </row>
    <row r="159" ht="13.5" customHeight="1">
      <c r="G159" s="201"/>
      <c r="H159" s="201"/>
    </row>
    <row r="160" ht="13.5" customHeight="1">
      <c r="G160" s="201"/>
      <c r="H160" s="201"/>
    </row>
    <row r="161" ht="13.5" customHeight="1">
      <c r="G161" s="201"/>
      <c r="H161" s="201"/>
    </row>
    <row r="162" ht="13.5" customHeight="1">
      <c r="G162" s="201"/>
      <c r="H162" s="201"/>
    </row>
    <row r="163" ht="13.5" customHeight="1">
      <c r="G163" s="201"/>
      <c r="H163" s="201"/>
    </row>
    <row r="164" ht="13.5" customHeight="1">
      <c r="G164" s="201"/>
      <c r="H164" s="201"/>
    </row>
    <row r="165" ht="13.5" customHeight="1">
      <c r="G165" s="201"/>
      <c r="H165" s="201"/>
    </row>
    <row r="166" ht="13.5" customHeight="1">
      <c r="G166" s="201"/>
      <c r="H166" s="201"/>
    </row>
    <row r="167" ht="13.5" customHeight="1">
      <c r="G167" s="201"/>
      <c r="H167" s="201"/>
    </row>
    <row r="168" ht="13.5" customHeight="1">
      <c r="G168" s="201"/>
      <c r="H168" s="201"/>
    </row>
    <row r="169" ht="13.5" customHeight="1">
      <c r="G169" s="201"/>
      <c r="H169" s="201"/>
    </row>
    <row r="170" ht="13.5" customHeight="1">
      <c r="G170" s="201"/>
      <c r="H170" s="201"/>
    </row>
    <row r="171" ht="13.5" customHeight="1">
      <c r="G171" s="201"/>
      <c r="H171" s="201"/>
    </row>
    <row r="172" ht="13.5" customHeight="1">
      <c r="G172" s="201"/>
      <c r="H172" s="201"/>
    </row>
    <row r="173" ht="13.5" customHeight="1">
      <c r="G173" s="201"/>
      <c r="H173" s="201"/>
    </row>
    <row r="174" ht="13.5" customHeight="1">
      <c r="G174" s="201"/>
      <c r="H174" s="201"/>
    </row>
    <row r="175" ht="13.5" customHeight="1">
      <c r="G175" s="201"/>
      <c r="H175" s="201"/>
    </row>
    <row r="176" ht="13.5" customHeight="1">
      <c r="G176" s="201"/>
      <c r="H176" s="201"/>
    </row>
    <row r="177" ht="13.5" customHeight="1">
      <c r="G177" s="201"/>
      <c r="H177" s="201"/>
    </row>
    <row r="178" ht="13.5" customHeight="1">
      <c r="G178" s="201"/>
      <c r="H178" s="201"/>
    </row>
    <row r="179" ht="13.5" customHeight="1">
      <c r="G179" s="201"/>
      <c r="H179" s="201"/>
    </row>
    <row r="180" ht="13.5" customHeight="1">
      <c r="G180" s="201"/>
      <c r="H180" s="201"/>
    </row>
    <row r="181" ht="13.5" customHeight="1">
      <c r="G181" s="201"/>
      <c r="H181" s="201"/>
    </row>
    <row r="182" ht="13.5" customHeight="1">
      <c r="G182" s="201"/>
      <c r="H182" s="201"/>
    </row>
    <row r="183" ht="13.5" customHeight="1">
      <c r="G183" s="201"/>
      <c r="H183" s="201"/>
    </row>
    <row r="184" ht="13.5" customHeight="1">
      <c r="G184" s="201"/>
      <c r="H184" s="201"/>
    </row>
    <row r="185" ht="13.5" customHeight="1">
      <c r="G185" s="201"/>
      <c r="H185" s="201"/>
    </row>
    <row r="186" ht="13.5" customHeight="1">
      <c r="G186" s="201"/>
      <c r="H186" s="201"/>
    </row>
    <row r="187" ht="13.5" customHeight="1">
      <c r="G187" s="201"/>
      <c r="H187" s="201"/>
    </row>
    <row r="188" ht="13.5" customHeight="1">
      <c r="G188" s="201"/>
      <c r="H188" s="201"/>
    </row>
    <row r="189" ht="13.5" customHeight="1">
      <c r="G189" s="201"/>
      <c r="H189" s="201"/>
    </row>
    <row r="190" ht="13.5" customHeight="1">
      <c r="G190" s="201"/>
      <c r="H190" s="201"/>
    </row>
    <row r="191" ht="13.5" customHeight="1">
      <c r="G191" s="201"/>
      <c r="H191" s="201"/>
    </row>
    <row r="192" ht="13.5" customHeight="1">
      <c r="G192" s="201"/>
      <c r="H192" s="201"/>
    </row>
    <row r="193" ht="13.5" customHeight="1">
      <c r="G193" s="201"/>
      <c r="H193" s="201"/>
    </row>
    <row r="194" ht="13.5" customHeight="1">
      <c r="G194" s="201"/>
      <c r="H194" s="201"/>
    </row>
    <row r="195" ht="13.5" customHeight="1">
      <c r="G195" s="201"/>
      <c r="H195" s="201"/>
    </row>
    <row r="196" ht="13.5" customHeight="1">
      <c r="G196" s="201"/>
      <c r="H196" s="201"/>
    </row>
    <row r="197" ht="13.5" customHeight="1">
      <c r="G197" s="201"/>
      <c r="H197" s="201"/>
    </row>
    <row r="198" ht="13.5" customHeight="1">
      <c r="G198" s="201"/>
      <c r="H198" s="201"/>
    </row>
    <row r="199" ht="13.5" customHeight="1">
      <c r="G199" s="201"/>
      <c r="H199" s="201"/>
    </row>
    <row r="200" ht="13.5" customHeight="1">
      <c r="G200" s="201"/>
      <c r="H200" s="201"/>
    </row>
    <row r="201" ht="13.5" customHeight="1">
      <c r="G201" s="201"/>
      <c r="H201" s="201"/>
    </row>
    <row r="202" ht="13.5" customHeight="1">
      <c r="G202" s="201"/>
      <c r="H202" s="201"/>
    </row>
    <row r="203" ht="13.5" customHeight="1">
      <c r="G203" s="201"/>
      <c r="H203" s="201"/>
    </row>
    <row r="204" ht="13.5" customHeight="1">
      <c r="G204" s="201"/>
      <c r="H204" s="201"/>
    </row>
    <row r="205" ht="13.5" customHeight="1">
      <c r="G205" s="201"/>
      <c r="H205" s="201"/>
    </row>
    <row r="206" ht="13.5" customHeight="1">
      <c r="G206" s="201"/>
      <c r="H206" s="201"/>
    </row>
    <row r="207" ht="13.5" customHeight="1">
      <c r="G207" s="201"/>
      <c r="H207" s="201"/>
    </row>
    <row r="208" ht="13.5" customHeight="1">
      <c r="G208" s="201"/>
      <c r="H208" s="201"/>
    </row>
    <row r="209" ht="13.5" customHeight="1">
      <c r="G209" s="201"/>
      <c r="H209" s="201"/>
    </row>
    <row r="210" ht="13.5" customHeight="1">
      <c r="G210" s="201"/>
      <c r="H210" s="201"/>
    </row>
    <row r="211" ht="13.5" customHeight="1">
      <c r="G211" s="201"/>
      <c r="H211" s="201"/>
    </row>
    <row r="212" ht="13.5" customHeight="1">
      <c r="G212" s="201"/>
      <c r="H212" s="201"/>
    </row>
    <row r="213" ht="13.5" customHeight="1">
      <c r="G213" s="201"/>
      <c r="H213" s="201"/>
    </row>
    <row r="214" ht="13.5" customHeight="1">
      <c r="G214" s="201"/>
      <c r="H214" s="201"/>
    </row>
    <row r="215" ht="13.5" customHeight="1">
      <c r="G215" s="201"/>
      <c r="H215" s="201"/>
    </row>
    <row r="216" ht="13.5" customHeight="1">
      <c r="G216" s="201"/>
      <c r="H216" s="201"/>
    </row>
    <row r="217" ht="13.5" customHeight="1">
      <c r="G217" s="201"/>
      <c r="H217" s="201"/>
    </row>
    <row r="218" ht="13.5" customHeight="1">
      <c r="G218" s="201"/>
      <c r="H218" s="201"/>
    </row>
    <row r="219" ht="13.5" customHeight="1">
      <c r="G219" s="201"/>
      <c r="H219" s="201"/>
    </row>
    <row r="220" ht="13.5" customHeight="1">
      <c r="G220" s="201"/>
      <c r="H220" s="201"/>
    </row>
    <row r="221" ht="13.5" customHeight="1">
      <c r="G221" s="201"/>
      <c r="H221" s="201"/>
    </row>
    <row r="222" ht="13.5" customHeight="1">
      <c r="G222" s="201"/>
      <c r="H222" s="201"/>
    </row>
    <row r="223" ht="13.5" customHeight="1">
      <c r="G223" s="201"/>
      <c r="H223" s="201"/>
    </row>
    <row r="224" ht="13.5" customHeight="1">
      <c r="G224" s="201"/>
      <c r="H224" s="201"/>
    </row>
    <row r="225" ht="13.5" customHeight="1">
      <c r="G225" s="201"/>
      <c r="H225" s="201"/>
    </row>
    <row r="226" ht="13.5" customHeight="1">
      <c r="G226" s="201"/>
      <c r="H226" s="201"/>
    </row>
    <row r="227" ht="13.5" customHeight="1">
      <c r="G227" s="201"/>
      <c r="H227" s="201"/>
    </row>
    <row r="228" ht="13.5" customHeight="1">
      <c r="G228" s="201"/>
      <c r="H228" s="201"/>
    </row>
    <row r="229" ht="13.5" customHeight="1">
      <c r="G229" s="201"/>
      <c r="H229" s="201"/>
    </row>
    <row r="230" ht="13.5" customHeight="1">
      <c r="G230" s="201"/>
      <c r="H230" s="201"/>
    </row>
    <row r="231" ht="13.5" customHeight="1">
      <c r="G231" s="201"/>
      <c r="H231" s="201"/>
    </row>
    <row r="232" ht="13.5" customHeight="1">
      <c r="G232" s="201"/>
      <c r="H232" s="201"/>
    </row>
    <row r="233" ht="13.5" customHeight="1">
      <c r="G233" s="201"/>
      <c r="H233" s="201"/>
    </row>
    <row r="234" ht="13.5" customHeight="1">
      <c r="G234" s="201"/>
      <c r="H234" s="201"/>
    </row>
    <row r="235" ht="13.5" customHeight="1">
      <c r="G235" s="201"/>
      <c r="H235" s="201"/>
    </row>
    <row r="236" ht="13.5" customHeight="1">
      <c r="G236" s="201"/>
      <c r="H236" s="201"/>
    </row>
    <row r="237" ht="13.5" customHeight="1">
      <c r="G237" s="201"/>
      <c r="H237" s="201"/>
    </row>
    <row r="238" ht="13.5" customHeight="1">
      <c r="G238" s="201"/>
      <c r="H238" s="201"/>
    </row>
    <row r="239" ht="13.5" customHeight="1">
      <c r="G239" s="201"/>
      <c r="H239" s="201"/>
    </row>
    <row r="240" ht="13.5" customHeight="1">
      <c r="G240" s="201"/>
      <c r="H240" s="201"/>
    </row>
    <row r="241" ht="13.5" customHeight="1">
      <c r="G241" s="201"/>
      <c r="H241" s="201"/>
    </row>
    <row r="242" ht="13.5" customHeight="1">
      <c r="G242" s="201"/>
      <c r="H242" s="201"/>
    </row>
    <row r="243" ht="13.5" customHeight="1">
      <c r="G243" s="201"/>
      <c r="H243" s="201"/>
    </row>
    <row r="244" ht="13.5" customHeight="1">
      <c r="G244" s="201"/>
      <c r="H244" s="201"/>
    </row>
    <row r="245" ht="13.5" customHeight="1">
      <c r="G245" s="201"/>
      <c r="H245" s="201"/>
    </row>
    <row r="246" ht="13.5" customHeight="1">
      <c r="G246" s="201"/>
      <c r="H246" s="201"/>
    </row>
    <row r="247" ht="13.5" customHeight="1">
      <c r="G247" s="201"/>
      <c r="H247" s="201"/>
    </row>
    <row r="248" ht="13.5" customHeight="1">
      <c r="G248" s="201"/>
      <c r="H248" s="201"/>
    </row>
    <row r="249" ht="13.5" customHeight="1">
      <c r="G249" s="201"/>
      <c r="H249" s="201"/>
    </row>
    <row r="250" ht="13.5" customHeight="1">
      <c r="G250" s="201"/>
      <c r="H250" s="201"/>
    </row>
    <row r="251" ht="13.5" customHeight="1">
      <c r="G251" s="201"/>
      <c r="H251" s="201"/>
    </row>
    <row r="252" ht="13.5" customHeight="1">
      <c r="G252" s="201"/>
      <c r="H252" s="201"/>
    </row>
    <row r="253" ht="13.5" customHeight="1">
      <c r="G253" s="201"/>
      <c r="H253" s="201"/>
    </row>
    <row r="254" ht="13.5" customHeight="1">
      <c r="G254" s="201"/>
      <c r="H254" s="201"/>
    </row>
    <row r="255" ht="13.5" customHeight="1">
      <c r="G255" s="201"/>
      <c r="H255" s="201"/>
    </row>
    <row r="256" ht="13.5" customHeight="1">
      <c r="G256" s="201"/>
      <c r="H256" s="201"/>
    </row>
    <row r="257" ht="13.5" customHeight="1">
      <c r="G257" s="201"/>
      <c r="H257" s="201"/>
    </row>
    <row r="258" ht="13.5" customHeight="1">
      <c r="G258" s="201"/>
      <c r="H258" s="201"/>
    </row>
    <row r="259" ht="13.5" customHeight="1">
      <c r="G259" s="201"/>
      <c r="H259" s="201"/>
    </row>
    <row r="260" ht="13.5" customHeight="1">
      <c r="G260" s="201"/>
      <c r="H260" s="201"/>
    </row>
    <row r="261" ht="13.5" customHeight="1">
      <c r="G261" s="201"/>
      <c r="H261" s="201"/>
    </row>
    <row r="262" ht="13.5" customHeight="1">
      <c r="G262" s="201"/>
      <c r="H262" s="201"/>
    </row>
    <row r="263" ht="13.5" customHeight="1">
      <c r="G263" s="201"/>
      <c r="H263" s="201"/>
    </row>
    <row r="264" ht="13.5" customHeight="1">
      <c r="G264" s="201"/>
      <c r="H264" s="201"/>
    </row>
    <row r="265" ht="13.5" customHeight="1">
      <c r="G265" s="201"/>
      <c r="H265" s="201"/>
    </row>
    <row r="266" ht="13.5" customHeight="1">
      <c r="G266" s="201"/>
      <c r="H266" s="201"/>
    </row>
    <row r="267" ht="13.5" customHeight="1">
      <c r="G267" s="201"/>
      <c r="H267" s="201"/>
    </row>
    <row r="268" ht="13.5" customHeight="1">
      <c r="G268" s="201"/>
      <c r="H268" s="201"/>
    </row>
    <row r="269" ht="13.5" customHeight="1">
      <c r="G269" s="201"/>
      <c r="H269" s="201"/>
    </row>
    <row r="270" ht="13.5" customHeight="1">
      <c r="G270" s="201"/>
      <c r="H270" s="201"/>
    </row>
    <row r="271" ht="13.5" customHeight="1">
      <c r="G271" s="201"/>
      <c r="H271" s="201"/>
    </row>
    <row r="272" ht="13.5" customHeight="1">
      <c r="G272" s="201"/>
      <c r="H272" s="201"/>
    </row>
    <row r="273" ht="13.5" customHeight="1">
      <c r="G273" s="201"/>
      <c r="H273" s="201"/>
    </row>
    <row r="274" ht="13.5" customHeight="1">
      <c r="G274" s="201"/>
      <c r="H274" s="201"/>
    </row>
    <row r="275" ht="13.5" customHeight="1">
      <c r="G275" s="201"/>
      <c r="H275" s="201"/>
    </row>
    <row r="276" ht="13.5" customHeight="1">
      <c r="G276" s="201"/>
      <c r="H276" s="201"/>
    </row>
    <row r="277" ht="13.5" customHeight="1">
      <c r="G277" s="201"/>
      <c r="H277" s="201"/>
    </row>
    <row r="278" ht="15.75" customHeight="1">
      <c r="G278" s="201"/>
      <c r="H278" s="201"/>
    </row>
    <row r="279" ht="15.75" customHeight="1">
      <c r="G279" s="201"/>
      <c r="H279" s="201"/>
    </row>
    <row r="280" ht="15.75" customHeight="1">
      <c r="G280" s="201"/>
      <c r="H280" s="201"/>
    </row>
    <row r="281" ht="15.75" customHeight="1">
      <c r="G281" s="201"/>
      <c r="H281" s="201"/>
    </row>
    <row r="282" ht="15.75" customHeight="1">
      <c r="G282" s="201"/>
      <c r="H282" s="201"/>
    </row>
    <row r="283" ht="15.75" customHeight="1">
      <c r="G283" s="201"/>
      <c r="H283" s="201"/>
    </row>
    <row r="284" ht="15.75" customHeight="1">
      <c r="G284" s="201"/>
      <c r="H284" s="201"/>
    </row>
    <row r="285" ht="15.75" customHeight="1">
      <c r="G285" s="201"/>
      <c r="H285" s="201"/>
    </row>
    <row r="286" ht="15.75" customHeight="1">
      <c r="G286" s="201"/>
      <c r="H286" s="201"/>
    </row>
    <row r="287" ht="15.75" customHeight="1">
      <c r="G287" s="201"/>
      <c r="H287" s="201"/>
    </row>
    <row r="288" ht="15.75" customHeight="1">
      <c r="G288" s="201"/>
      <c r="H288" s="201"/>
    </row>
    <row r="289" ht="15.75" customHeight="1">
      <c r="G289" s="201"/>
      <c r="H289" s="201"/>
    </row>
    <row r="290" ht="15.75" customHeight="1">
      <c r="G290" s="201"/>
      <c r="H290" s="201"/>
    </row>
    <row r="291" ht="15.75" customHeight="1">
      <c r="G291" s="201"/>
      <c r="H291" s="201"/>
    </row>
    <row r="292" ht="15.75" customHeight="1">
      <c r="G292" s="201"/>
      <c r="H292" s="201"/>
    </row>
    <row r="293" ht="15.75" customHeight="1">
      <c r="G293" s="201"/>
      <c r="H293" s="201"/>
    </row>
    <row r="294" ht="15.75" customHeight="1">
      <c r="G294" s="201"/>
      <c r="H294" s="201"/>
    </row>
    <row r="295" ht="15.75" customHeight="1">
      <c r="G295" s="201"/>
      <c r="H295" s="201"/>
    </row>
    <row r="296" ht="15.75" customHeight="1">
      <c r="G296" s="201"/>
      <c r="H296" s="201"/>
    </row>
    <row r="297" ht="15.75" customHeight="1">
      <c r="G297" s="201"/>
      <c r="H297" s="201"/>
    </row>
    <row r="298" ht="15.75" customHeight="1">
      <c r="G298" s="201"/>
      <c r="H298" s="201"/>
    </row>
    <row r="299" ht="15.75" customHeight="1">
      <c r="G299" s="201"/>
      <c r="H299" s="201"/>
    </row>
    <row r="300" ht="15.75" customHeight="1">
      <c r="G300" s="201"/>
      <c r="H300" s="201"/>
    </row>
    <row r="301" ht="15.75" customHeight="1">
      <c r="G301" s="201"/>
      <c r="H301" s="201"/>
    </row>
    <row r="302" ht="15.75" customHeight="1">
      <c r="G302" s="201"/>
      <c r="H302" s="201"/>
    </row>
    <row r="303" ht="15.75" customHeight="1">
      <c r="G303" s="201"/>
      <c r="H303" s="201"/>
    </row>
    <row r="304" ht="15.75" customHeight="1">
      <c r="G304" s="201"/>
      <c r="H304" s="201"/>
    </row>
    <row r="305" ht="15.75" customHeight="1">
      <c r="G305" s="201"/>
      <c r="H305" s="201"/>
    </row>
    <row r="306" ht="15.75" customHeight="1">
      <c r="G306" s="201"/>
      <c r="H306" s="201"/>
    </row>
    <row r="307" ht="15.75" customHeight="1">
      <c r="G307" s="201"/>
      <c r="H307" s="201"/>
    </row>
    <row r="308" ht="15.75" customHeight="1">
      <c r="G308" s="201"/>
      <c r="H308" s="201"/>
    </row>
    <row r="309" ht="15.75" customHeight="1">
      <c r="G309" s="201"/>
      <c r="H309" s="201"/>
    </row>
    <row r="310" ht="15.75" customHeight="1">
      <c r="G310" s="201"/>
      <c r="H310" s="201"/>
    </row>
    <row r="311" ht="15.75" customHeight="1">
      <c r="G311" s="201"/>
      <c r="H311" s="201"/>
    </row>
    <row r="312" ht="15.75" customHeight="1">
      <c r="G312" s="201"/>
      <c r="H312" s="201"/>
    </row>
    <row r="313" ht="15.75" customHeight="1">
      <c r="G313" s="201"/>
      <c r="H313" s="201"/>
    </row>
    <row r="314" ht="15.75" customHeight="1">
      <c r="G314" s="201"/>
      <c r="H314" s="201"/>
    </row>
    <row r="315" ht="15.75" customHeight="1">
      <c r="G315" s="201"/>
      <c r="H315" s="201"/>
    </row>
    <row r="316" ht="15.75" customHeight="1">
      <c r="G316" s="201"/>
      <c r="H316" s="201"/>
    </row>
    <row r="317" ht="15.75" customHeight="1">
      <c r="G317" s="201"/>
      <c r="H317" s="201"/>
    </row>
    <row r="318" ht="15.75" customHeight="1">
      <c r="G318" s="201"/>
      <c r="H318" s="201"/>
    </row>
    <row r="319" ht="15.75" customHeight="1">
      <c r="G319" s="201"/>
      <c r="H319" s="201"/>
    </row>
    <row r="320" ht="15.75" customHeight="1">
      <c r="G320" s="201"/>
      <c r="H320" s="201"/>
    </row>
    <row r="321" ht="15.75" customHeight="1">
      <c r="G321" s="201"/>
      <c r="H321" s="201"/>
    </row>
    <row r="322" ht="15.75" customHeight="1">
      <c r="G322" s="201"/>
      <c r="H322" s="201"/>
    </row>
    <row r="323" ht="15.75" customHeight="1">
      <c r="G323" s="201"/>
      <c r="H323" s="201"/>
    </row>
    <row r="324" ht="15.75" customHeight="1">
      <c r="G324" s="201"/>
      <c r="H324" s="201"/>
    </row>
    <row r="325" ht="15.75" customHeight="1">
      <c r="G325" s="201"/>
      <c r="H325" s="201"/>
    </row>
    <row r="326" ht="15.75" customHeight="1">
      <c r="G326" s="201"/>
      <c r="H326" s="201"/>
    </row>
    <row r="327" ht="15.75" customHeight="1">
      <c r="G327" s="201"/>
      <c r="H327" s="201"/>
    </row>
    <row r="328" ht="15.75" customHeight="1">
      <c r="G328" s="201"/>
      <c r="H328" s="201"/>
    </row>
    <row r="329" ht="15.75" customHeight="1">
      <c r="G329" s="201"/>
      <c r="H329" s="201"/>
    </row>
    <row r="330" ht="15.75" customHeight="1">
      <c r="G330" s="201"/>
      <c r="H330" s="201"/>
    </row>
    <row r="331" ht="15.75" customHeight="1">
      <c r="G331" s="201"/>
      <c r="H331" s="201"/>
    </row>
    <row r="332" ht="15.75" customHeight="1">
      <c r="G332" s="201"/>
      <c r="H332" s="201"/>
    </row>
    <row r="333" ht="15.75" customHeight="1">
      <c r="G333" s="201"/>
      <c r="H333" s="201"/>
    </row>
    <row r="334" ht="15.75" customHeight="1">
      <c r="G334" s="201"/>
      <c r="H334" s="201"/>
    </row>
    <row r="335" ht="15.75" customHeight="1">
      <c r="G335" s="201"/>
      <c r="H335" s="201"/>
    </row>
    <row r="336" ht="15.75" customHeight="1">
      <c r="G336" s="201"/>
      <c r="H336" s="201"/>
    </row>
    <row r="337" ht="15.75" customHeight="1">
      <c r="G337" s="201"/>
      <c r="H337" s="201"/>
    </row>
    <row r="338" ht="15.75" customHeight="1">
      <c r="G338" s="201"/>
      <c r="H338" s="201"/>
    </row>
    <row r="339" ht="15.75" customHeight="1">
      <c r="G339" s="201"/>
      <c r="H339" s="201"/>
    </row>
    <row r="340" ht="15.75" customHeight="1">
      <c r="G340" s="201"/>
      <c r="H340" s="201"/>
    </row>
    <row r="341" ht="15.75" customHeight="1">
      <c r="G341" s="201"/>
      <c r="H341" s="201"/>
    </row>
    <row r="342" ht="15.75" customHeight="1">
      <c r="G342" s="201"/>
      <c r="H342" s="201"/>
    </row>
    <row r="343" ht="15.75" customHeight="1">
      <c r="G343" s="201"/>
      <c r="H343" s="201"/>
    </row>
    <row r="344" ht="15.75" customHeight="1">
      <c r="G344" s="201"/>
      <c r="H344" s="201"/>
    </row>
    <row r="345" ht="15.75" customHeight="1">
      <c r="G345" s="201"/>
      <c r="H345" s="201"/>
    </row>
    <row r="346" ht="15.75" customHeight="1">
      <c r="G346" s="201"/>
      <c r="H346" s="201"/>
    </row>
    <row r="347" ht="15.75" customHeight="1">
      <c r="G347" s="201"/>
      <c r="H347" s="201"/>
    </row>
    <row r="348" ht="15.75" customHeight="1">
      <c r="G348" s="201"/>
      <c r="H348" s="201"/>
    </row>
    <row r="349" ht="15.75" customHeight="1">
      <c r="G349" s="201"/>
      <c r="H349" s="201"/>
    </row>
    <row r="350" ht="15.75" customHeight="1">
      <c r="G350" s="201"/>
      <c r="H350" s="201"/>
    </row>
    <row r="351" ht="15.75" customHeight="1">
      <c r="G351" s="201"/>
      <c r="H351" s="201"/>
    </row>
    <row r="352" ht="15.75" customHeight="1">
      <c r="G352" s="201"/>
      <c r="H352" s="201"/>
    </row>
    <row r="353" ht="15.75" customHeight="1">
      <c r="G353" s="201"/>
      <c r="H353" s="201"/>
    </row>
    <row r="354" ht="15.75" customHeight="1">
      <c r="G354" s="201"/>
      <c r="H354" s="201"/>
    </row>
    <row r="355" ht="15.75" customHeight="1">
      <c r="G355" s="201"/>
      <c r="H355" s="201"/>
    </row>
    <row r="356" ht="15.75" customHeight="1">
      <c r="G356" s="201"/>
      <c r="H356" s="201"/>
    </row>
    <row r="357" ht="15.75" customHeight="1">
      <c r="G357" s="201"/>
      <c r="H357" s="201"/>
    </row>
    <row r="358" ht="15.75" customHeight="1">
      <c r="G358" s="201"/>
      <c r="H358" s="201"/>
    </row>
    <row r="359" ht="15.75" customHeight="1">
      <c r="G359" s="201"/>
      <c r="H359" s="201"/>
    </row>
    <row r="360" ht="15.75" customHeight="1">
      <c r="G360" s="201"/>
      <c r="H360" s="201"/>
    </row>
    <row r="361" ht="15.75" customHeight="1">
      <c r="G361" s="201"/>
      <c r="H361" s="201"/>
    </row>
    <row r="362" ht="15.75" customHeight="1">
      <c r="G362" s="201"/>
      <c r="H362" s="201"/>
    </row>
    <row r="363" ht="15.75" customHeight="1">
      <c r="G363" s="201"/>
      <c r="H363" s="201"/>
    </row>
    <row r="364" ht="15.75" customHeight="1">
      <c r="G364" s="201"/>
      <c r="H364" s="201"/>
    </row>
    <row r="365" ht="15.75" customHeight="1">
      <c r="G365" s="201"/>
      <c r="H365" s="201"/>
    </row>
    <row r="366" ht="15.75" customHeight="1">
      <c r="G366" s="201"/>
      <c r="H366" s="201"/>
    </row>
    <row r="367" ht="15.75" customHeight="1">
      <c r="G367" s="201"/>
      <c r="H367" s="201"/>
    </row>
    <row r="368" ht="15.75" customHeight="1">
      <c r="G368" s="201"/>
      <c r="H368" s="201"/>
    </row>
    <row r="369" ht="15.75" customHeight="1">
      <c r="G369" s="201"/>
      <c r="H369" s="201"/>
    </row>
    <row r="370" ht="15.75" customHeight="1">
      <c r="G370" s="201"/>
      <c r="H370" s="201"/>
    </row>
    <row r="371" ht="15.75" customHeight="1">
      <c r="G371" s="201"/>
      <c r="H371" s="201"/>
    </row>
    <row r="372" ht="15.75" customHeight="1">
      <c r="G372" s="201"/>
      <c r="H372" s="201"/>
    </row>
    <row r="373" ht="15.75" customHeight="1">
      <c r="G373" s="201"/>
      <c r="H373" s="201"/>
    </row>
    <row r="374" ht="15.75" customHeight="1">
      <c r="G374" s="201"/>
      <c r="H374" s="201"/>
    </row>
    <row r="375" ht="15.75" customHeight="1">
      <c r="G375" s="201"/>
      <c r="H375" s="201"/>
    </row>
    <row r="376" ht="15.75" customHeight="1">
      <c r="G376" s="201"/>
      <c r="H376" s="201"/>
    </row>
    <row r="377" ht="15.75" customHeight="1">
      <c r="G377" s="201"/>
      <c r="H377" s="201"/>
    </row>
    <row r="378" ht="15.75" customHeight="1">
      <c r="G378" s="201"/>
      <c r="H378" s="201"/>
    </row>
    <row r="379" ht="15.75" customHeight="1">
      <c r="G379" s="201"/>
      <c r="H379" s="201"/>
    </row>
    <row r="380" ht="15.75" customHeight="1">
      <c r="G380" s="201"/>
      <c r="H380" s="201"/>
    </row>
    <row r="381" ht="15.75" customHeight="1">
      <c r="G381" s="201"/>
      <c r="H381" s="201"/>
    </row>
    <row r="382" ht="15.75" customHeight="1">
      <c r="G382" s="201"/>
      <c r="H382" s="201"/>
    </row>
    <row r="383" ht="15.75" customHeight="1">
      <c r="G383" s="201"/>
      <c r="H383" s="201"/>
    </row>
    <row r="384" ht="15.75" customHeight="1">
      <c r="G384" s="201"/>
      <c r="H384" s="201"/>
    </row>
    <row r="385" ht="15.75" customHeight="1">
      <c r="G385" s="201"/>
      <c r="H385" s="201"/>
    </row>
    <row r="386" ht="15.75" customHeight="1">
      <c r="G386" s="201"/>
      <c r="H386" s="201"/>
    </row>
    <row r="387" ht="15.75" customHeight="1">
      <c r="G387" s="201"/>
      <c r="H387" s="201"/>
    </row>
    <row r="388" ht="15.75" customHeight="1">
      <c r="G388" s="201"/>
      <c r="H388" s="201"/>
    </row>
    <row r="389" ht="15.75" customHeight="1">
      <c r="G389" s="201"/>
      <c r="H389" s="201"/>
    </row>
    <row r="390" ht="15.75" customHeight="1">
      <c r="G390" s="201"/>
      <c r="H390" s="201"/>
    </row>
    <row r="391" ht="15.75" customHeight="1">
      <c r="G391" s="201"/>
      <c r="H391" s="201"/>
    </row>
    <row r="392" ht="15.75" customHeight="1">
      <c r="G392" s="201"/>
      <c r="H392" s="201"/>
    </row>
    <row r="393" ht="15.75" customHeight="1">
      <c r="G393" s="201"/>
      <c r="H393" s="201"/>
    </row>
    <row r="394" ht="15.75" customHeight="1">
      <c r="G394" s="201"/>
      <c r="H394" s="201"/>
    </row>
    <row r="395" ht="15.75" customHeight="1">
      <c r="G395" s="201"/>
      <c r="H395" s="201"/>
    </row>
    <row r="396" ht="15.75" customHeight="1">
      <c r="G396" s="201"/>
      <c r="H396" s="201"/>
    </row>
    <row r="397" ht="15.75" customHeight="1">
      <c r="G397" s="201"/>
      <c r="H397" s="201"/>
    </row>
    <row r="398" ht="15.75" customHeight="1">
      <c r="G398" s="201"/>
      <c r="H398" s="201"/>
    </row>
    <row r="399" ht="15.75" customHeight="1">
      <c r="G399" s="201"/>
      <c r="H399" s="201"/>
    </row>
    <row r="400" ht="15.75" customHeight="1">
      <c r="G400" s="201"/>
      <c r="H400" s="201"/>
    </row>
    <row r="401" ht="15.75" customHeight="1">
      <c r="G401" s="201"/>
      <c r="H401" s="201"/>
    </row>
    <row r="402" ht="15.75" customHeight="1">
      <c r="G402" s="201"/>
      <c r="H402" s="201"/>
    </row>
    <row r="403" ht="15.75" customHeight="1">
      <c r="G403" s="201"/>
      <c r="H403" s="201"/>
    </row>
    <row r="404" ht="15.75" customHeight="1">
      <c r="G404" s="201"/>
      <c r="H404" s="201"/>
    </row>
    <row r="405" ht="15.75" customHeight="1">
      <c r="G405" s="201"/>
      <c r="H405" s="201"/>
    </row>
    <row r="406" ht="15.75" customHeight="1">
      <c r="G406" s="201"/>
      <c r="H406" s="201"/>
    </row>
    <row r="407" ht="15.75" customHeight="1">
      <c r="G407" s="201"/>
      <c r="H407" s="201"/>
    </row>
    <row r="408" ht="15.75" customHeight="1">
      <c r="G408" s="201"/>
      <c r="H408" s="201"/>
    </row>
    <row r="409" ht="15.75" customHeight="1">
      <c r="G409" s="201"/>
      <c r="H409" s="201"/>
    </row>
    <row r="410" ht="15.75" customHeight="1">
      <c r="G410" s="201"/>
      <c r="H410" s="201"/>
    </row>
    <row r="411" ht="15.75" customHeight="1">
      <c r="G411" s="201"/>
      <c r="H411" s="201"/>
    </row>
    <row r="412" ht="15.75" customHeight="1">
      <c r="G412" s="201"/>
      <c r="H412" s="201"/>
    </row>
    <row r="413" ht="15.75" customHeight="1">
      <c r="G413" s="201"/>
      <c r="H413" s="201"/>
    </row>
    <row r="414" ht="15.75" customHeight="1">
      <c r="G414" s="201"/>
      <c r="H414" s="201"/>
    </row>
    <row r="415" ht="15.75" customHeight="1">
      <c r="G415" s="201"/>
      <c r="H415" s="201"/>
    </row>
    <row r="416" ht="15.75" customHeight="1">
      <c r="G416" s="201"/>
      <c r="H416" s="201"/>
    </row>
    <row r="417" ht="15.75" customHeight="1">
      <c r="G417" s="201"/>
      <c r="H417" s="201"/>
    </row>
    <row r="418" ht="15.75" customHeight="1">
      <c r="G418" s="201"/>
      <c r="H418" s="201"/>
    </row>
    <row r="419" ht="15.75" customHeight="1">
      <c r="G419" s="201"/>
      <c r="H419" s="201"/>
    </row>
    <row r="420" ht="15.75" customHeight="1">
      <c r="G420" s="201"/>
      <c r="H420" s="201"/>
    </row>
    <row r="421" ht="15.75" customHeight="1">
      <c r="G421" s="201"/>
      <c r="H421" s="201"/>
    </row>
    <row r="422" ht="15.75" customHeight="1">
      <c r="G422" s="201"/>
      <c r="H422" s="201"/>
    </row>
    <row r="423" ht="15.75" customHeight="1">
      <c r="G423" s="201"/>
      <c r="H423" s="201"/>
    </row>
    <row r="424" ht="15.75" customHeight="1">
      <c r="G424" s="201"/>
      <c r="H424" s="201"/>
    </row>
    <row r="425" ht="15.75" customHeight="1">
      <c r="G425" s="201"/>
      <c r="H425" s="201"/>
    </row>
    <row r="426" ht="15.75" customHeight="1">
      <c r="G426" s="201"/>
      <c r="H426" s="201"/>
    </row>
    <row r="427" ht="15.75" customHeight="1">
      <c r="G427" s="201"/>
      <c r="H427" s="201"/>
    </row>
    <row r="428" ht="15.75" customHeight="1">
      <c r="G428" s="201"/>
      <c r="H428" s="201"/>
    </row>
    <row r="429" ht="15.75" customHeight="1">
      <c r="G429" s="201"/>
      <c r="H429" s="201"/>
    </row>
    <row r="430" ht="15.75" customHeight="1">
      <c r="G430" s="201"/>
      <c r="H430" s="201"/>
    </row>
    <row r="431" ht="15.75" customHeight="1">
      <c r="G431" s="201"/>
      <c r="H431" s="201"/>
    </row>
    <row r="432" ht="15.75" customHeight="1">
      <c r="G432" s="201"/>
      <c r="H432" s="201"/>
    </row>
    <row r="433" ht="15.75" customHeight="1">
      <c r="G433" s="201"/>
      <c r="H433" s="201"/>
    </row>
    <row r="434" ht="15.75" customHeight="1">
      <c r="G434" s="201"/>
      <c r="H434" s="201"/>
    </row>
    <row r="435" ht="15.75" customHeight="1">
      <c r="G435" s="201"/>
      <c r="H435" s="201"/>
    </row>
    <row r="436" ht="15.75" customHeight="1">
      <c r="G436" s="201"/>
      <c r="H436" s="201"/>
    </row>
    <row r="437" ht="15.75" customHeight="1">
      <c r="G437" s="201"/>
      <c r="H437" s="201"/>
    </row>
    <row r="438" ht="15.75" customHeight="1">
      <c r="G438" s="201"/>
      <c r="H438" s="201"/>
    </row>
    <row r="439" ht="15.75" customHeight="1">
      <c r="G439" s="201"/>
      <c r="H439" s="201"/>
    </row>
    <row r="440" ht="15.75" customHeight="1">
      <c r="G440" s="201"/>
      <c r="H440" s="201"/>
    </row>
    <row r="441" ht="15.75" customHeight="1">
      <c r="G441" s="201"/>
      <c r="H441" s="201"/>
    </row>
    <row r="442" ht="15.75" customHeight="1">
      <c r="G442" s="201"/>
      <c r="H442" s="201"/>
    </row>
    <row r="443" ht="15.75" customHeight="1">
      <c r="G443" s="201"/>
      <c r="H443" s="201"/>
    </row>
    <row r="444" ht="15.75" customHeight="1">
      <c r="G444" s="201"/>
      <c r="H444" s="201"/>
    </row>
    <row r="445" ht="15.75" customHeight="1">
      <c r="G445" s="201"/>
      <c r="H445" s="201"/>
    </row>
    <row r="446" ht="15.75" customHeight="1">
      <c r="G446" s="201"/>
      <c r="H446" s="201"/>
    </row>
    <row r="447" ht="15.75" customHeight="1">
      <c r="G447" s="201"/>
      <c r="H447" s="201"/>
    </row>
    <row r="448" ht="15.75" customHeight="1">
      <c r="G448" s="201"/>
      <c r="H448" s="201"/>
    </row>
    <row r="449" ht="15.75" customHeight="1">
      <c r="G449" s="201"/>
      <c r="H449" s="201"/>
    </row>
    <row r="450" ht="15.75" customHeight="1">
      <c r="G450" s="201"/>
      <c r="H450" s="201"/>
    </row>
    <row r="451" ht="15.75" customHeight="1">
      <c r="G451" s="201"/>
      <c r="H451" s="201"/>
    </row>
    <row r="452" ht="15.75" customHeight="1">
      <c r="G452" s="201"/>
      <c r="H452" s="201"/>
    </row>
    <row r="453" ht="15.75" customHeight="1">
      <c r="G453" s="201"/>
      <c r="H453" s="201"/>
    </row>
    <row r="454" ht="15.75" customHeight="1">
      <c r="G454" s="201"/>
      <c r="H454" s="201"/>
    </row>
    <row r="455" ht="15.75" customHeight="1">
      <c r="G455" s="201"/>
      <c r="H455" s="201"/>
    </row>
    <row r="456" ht="15.75" customHeight="1">
      <c r="G456" s="201"/>
      <c r="H456" s="201"/>
    </row>
    <row r="457" ht="15.75" customHeight="1">
      <c r="G457" s="201"/>
      <c r="H457" s="201"/>
    </row>
    <row r="458" ht="15.75" customHeight="1">
      <c r="G458" s="201"/>
      <c r="H458" s="201"/>
    </row>
    <row r="459" ht="15.75" customHeight="1">
      <c r="G459" s="201"/>
      <c r="H459" s="201"/>
    </row>
    <row r="460" ht="15.75" customHeight="1">
      <c r="G460" s="201"/>
      <c r="H460" s="201"/>
    </row>
    <row r="461" ht="15.75" customHeight="1">
      <c r="G461" s="201"/>
      <c r="H461" s="201"/>
    </row>
    <row r="462" ht="15.75" customHeight="1">
      <c r="G462" s="201"/>
      <c r="H462" s="201"/>
    </row>
    <row r="463" ht="15.75" customHeight="1">
      <c r="G463" s="201"/>
      <c r="H463" s="201"/>
    </row>
    <row r="464" ht="15.75" customHeight="1">
      <c r="G464" s="201"/>
      <c r="H464" s="201"/>
    </row>
    <row r="465" ht="15.75" customHeight="1">
      <c r="G465" s="201"/>
      <c r="H465" s="201"/>
    </row>
    <row r="466" ht="15.75" customHeight="1">
      <c r="G466" s="201"/>
      <c r="H466" s="201"/>
    </row>
    <row r="467" ht="15.75" customHeight="1">
      <c r="G467" s="201"/>
      <c r="H467" s="201"/>
    </row>
    <row r="468" ht="15.75" customHeight="1">
      <c r="G468" s="201"/>
      <c r="H468" s="201"/>
    </row>
    <row r="469" ht="15.75" customHeight="1">
      <c r="G469" s="201"/>
      <c r="H469" s="201"/>
    </row>
    <row r="470" ht="15.75" customHeight="1">
      <c r="G470" s="201"/>
      <c r="H470" s="201"/>
    </row>
    <row r="471" ht="15.75" customHeight="1">
      <c r="G471" s="201"/>
      <c r="H471" s="201"/>
    </row>
    <row r="472" ht="15.75" customHeight="1">
      <c r="G472" s="201"/>
      <c r="H472" s="201"/>
    </row>
    <row r="473" ht="15.75" customHeight="1">
      <c r="G473" s="201"/>
      <c r="H473" s="201"/>
    </row>
    <row r="474" ht="15.75" customHeight="1">
      <c r="G474" s="201"/>
      <c r="H474" s="201"/>
    </row>
    <row r="475" ht="15.75" customHeight="1">
      <c r="G475" s="201"/>
      <c r="H475" s="201"/>
    </row>
    <row r="476" ht="15.75" customHeight="1">
      <c r="G476" s="201"/>
      <c r="H476" s="201"/>
    </row>
    <row r="477" ht="15.75" customHeight="1">
      <c r="G477" s="201"/>
      <c r="H477" s="201"/>
    </row>
    <row r="478" ht="15.75" customHeight="1">
      <c r="G478" s="201"/>
      <c r="H478" s="201"/>
    </row>
    <row r="479" ht="15.75" customHeight="1">
      <c r="G479" s="201"/>
      <c r="H479" s="201"/>
    </row>
    <row r="480" ht="15.75" customHeight="1">
      <c r="G480" s="201"/>
      <c r="H480" s="201"/>
    </row>
    <row r="481" ht="15.75" customHeight="1">
      <c r="G481" s="201"/>
      <c r="H481" s="201"/>
    </row>
    <row r="482" ht="15.75" customHeight="1">
      <c r="G482" s="201"/>
      <c r="H482" s="201"/>
    </row>
    <row r="483" ht="15.75" customHeight="1">
      <c r="G483" s="201"/>
      <c r="H483" s="201"/>
    </row>
    <row r="484" ht="15.75" customHeight="1">
      <c r="G484" s="201"/>
      <c r="H484" s="201"/>
    </row>
    <row r="485" ht="15.75" customHeight="1">
      <c r="G485" s="201"/>
      <c r="H485" s="201"/>
    </row>
    <row r="486" ht="15.75" customHeight="1">
      <c r="G486" s="201"/>
      <c r="H486" s="201"/>
    </row>
    <row r="487" ht="15.75" customHeight="1">
      <c r="G487" s="201"/>
      <c r="H487" s="201"/>
    </row>
    <row r="488" ht="15.75" customHeight="1">
      <c r="G488" s="201"/>
      <c r="H488" s="201"/>
    </row>
    <row r="489" ht="15.75" customHeight="1">
      <c r="G489" s="201"/>
      <c r="H489" s="201"/>
    </row>
    <row r="490" ht="15.75" customHeight="1">
      <c r="G490" s="201"/>
      <c r="H490" s="201"/>
    </row>
    <row r="491" ht="15.75" customHeight="1">
      <c r="G491" s="201"/>
      <c r="H491" s="201"/>
    </row>
    <row r="492" ht="15.75" customHeight="1">
      <c r="G492" s="201"/>
      <c r="H492" s="201"/>
    </row>
    <row r="493" ht="15.75" customHeight="1">
      <c r="G493" s="201"/>
      <c r="H493" s="201"/>
    </row>
    <row r="494" ht="15.75" customHeight="1">
      <c r="G494" s="201"/>
      <c r="H494" s="201"/>
    </row>
    <row r="495" ht="15.75" customHeight="1">
      <c r="G495" s="201"/>
      <c r="H495" s="201"/>
    </row>
    <row r="496" ht="15.75" customHeight="1">
      <c r="G496" s="201"/>
      <c r="H496" s="201"/>
    </row>
    <row r="497" ht="15.75" customHeight="1">
      <c r="G497" s="201"/>
      <c r="H497" s="201"/>
    </row>
    <row r="498" ht="15.75" customHeight="1">
      <c r="G498" s="201"/>
      <c r="H498" s="201"/>
    </row>
    <row r="499" ht="15.75" customHeight="1">
      <c r="G499" s="201"/>
      <c r="H499" s="201"/>
    </row>
    <row r="500" ht="15.75" customHeight="1">
      <c r="G500" s="201"/>
      <c r="H500" s="201"/>
    </row>
    <row r="501" ht="15.75" customHeight="1">
      <c r="G501" s="201"/>
      <c r="H501" s="201"/>
    </row>
    <row r="502" ht="15.75" customHeight="1">
      <c r="G502" s="201"/>
      <c r="H502" s="201"/>
    </row>
    <row r="503" ht="15.75" customHeight="1">
      <c r="G503" s="201"/>
      <c r="H503" s="201"/>
    </row>
    <row r="504" ht="15.75" customHeight="1">
      <c r="G504" s="201"/>
      <c r="H504" s="201"/>
    </row>
    <row r="505" ht="15.75" customHeight="1">
      <c r="G505" s="201"/>
      <c r="H505" s="201"/>
    </row>
    <row r="506" ht="15.75" customHeight="1">
      <c r="G506" s="201"/>
      <c r="H506" s="201"/>
    </row>
    <row r="507" ht="15.75" customHeight="1">
      <c r="G507" s="201"/>
      <c r="H507" s="201"/>
    </row>
    <row r="508" ht="15.75" customHeight="1">
      <c r="G508" s="201"/>
      <c r="H508" s="201"/>
    </row>
    <row r="509" ht="15.75" customHeight="1">
      <c r="G509" s="201"/>
      <c r="H509" s="201"/>
    </row>
    <row r="510" ht="15.75" customHeight="1">
      <c r="G510" s="201"/>
      <c r="H510" s="201"/>
    </row>
    <row r="511" ht="15.75" customHeight="1">
      <c r="G511" s="201"/>
      <c r="H511" s="201"/>
    </row>
    <row r="512" ht="15.75" customHeight="1">
      <c r="G512" s="201"/>
      <c r="H512" s="201"/>
    </row>
    <row r="513" ht="15.75" customHeight="1">
      <c r="G513" s="201"/>
      <c r="H513" s="201"/>
    </row>
    <row r="514" ht="15.75" customHeight="1">
      <c r="G514" s="201"/>
      <c r="H514" s="201"/>
    </row>
    <row r="515" ht="15.75" customHeight="1">
      <c r="G515" s="201"/>
      <c r="H515" s="201"/>
    </row>
    <row r="516" ht="15.75" customHeight="1">
      <c r="G516" s="201"/>
      <c r="H516" s="201"/>
    </row>
    <row r="517" ht="15.75" customHeight="1">
      <c r="G517" s="201"/>
      <c r="H517" s="201"/>
    </row>
    <row r="518" ht="15.75" customHeight="1">
      <c r="G518" s="201"/>
      <c r="H518" s="201"/>
    </row>
    <row r="519" ht="15.75" customHeight="1">
      <c r="G519" s="201"/>
      <c r="H519" s="201"/>
    </row>
    <row r="520" ht="15.75" customHeight="1">
      <c r="G520" s="201"/>
      <c r="H520" s="201"/>
    </row>
    <row r="521" ht="15.75" customHeight="1">
      <c r="G521" s="201"/>
      <c r="H521" s="201"/>
    </row>
    <row r="522" ht="15.75" customHeight="1">
      <c r="G522" s="201"/>
      <c r="H522" s="201"/>
    </row>
    <row r="523" ht="15.75" customHeight="1">
      <c r="G523" s="201"/>
      <c r="H523" s="201"/>
    </row>
    <row r="524" ht="15.75" customHeight="1">
      <c r="G524" s="201"/>
      <c r="H524" s="201"/>
    </row>
    <row r="525" ht="15.75" customHeight="1">
      <c r="G525" s="201"/>
      <c r="H525" s="201"/>
    </row>
    <row r="526" ht="15.75" customHeight="1">
      <c r="G526" s="201"/>
      <c r="H526" s="201"/>
    </row>
    <row r="527" ht="15.75" customHeight="1">
      <c r="G527" s="201"/>
      <c r="H527" s="201"/>
    </row>
    <row r="528" ht="15.75" customHeight="1">
      <c r="G528" s="201"/>
      <c r="H528" s="201"/>
    </row>
    <row r="529" ht="15.75" customHeight="1">
      <c r="G529" s="201"/>
      <c r="H529" s="201"/>
    </row>
    <row r="530" ht="15.75" customHeight="1">
      <c r="G530" s="201"/>
      <c r="H530" s="201"/>
    </row>
    <row r="531" ht="15.75" customHeight="1">
      <c r="G531" s="201"/>
      <c r="H531" s="201"/>
    </row>
    <row r="532" ht="15.75" customHeight="1">
      <c r="G532" s="201"/>
      <c r="H532" s="201"/>
    </row>
    <row r="533" ht="15.75" customHeight="1">
      <c r="G533" s="201"/>
      <c r="H533" s="201"/>
    </row>
    <row r="534" ht="15.75" customHeight="1">
      <c r="G534" s="201"/>
      <c r="H534" s="201"/>
    </row>
    <row r="535" ht="15.75" customHeight="1">
      <c r="G535" s="201"/>
      <c r="H535" s="201"/>
    </row>
    <row r="536" ht="15.75" customHeight="1">
      <c r="G536" s="201"/>
      <c r="H536" s="201"/>
    </row>
    <row r="537" ht="15.75" customHeight="1">
      <c r="G537" s="201"/>
      <c r="H537" s="201"/>
    </row>
    <row r="538" ht="15.75" customHeight="1">
      <c r="G538" s="201"/>
      <c r="H538" s="201"/>
    </row>
    <row r="539" ht="15.75" customHeight="1">
      <c r="G539" s="201"/>
      <c r="H539" s="201"/>
    </row>
    <row r="540" ht="15.75" customHeight="1">
      <c r="G540" s="201"/>
      <c r="H540" s="201"/>
    </row>
    <row r="541" ht="15.75" customHeight="1">
      <c r="G541" s="201"/>
      <c r="H541" s="201"/>
    </row>
    <row r="542" ht="15.75" customHeight="1">
      <c r="G542" s="201"/>
      <c r="H542" s="201"/>
    </row>
    <row r="543" ht="15.75" customHeight="1">
      <c r="G543" s="201"/>
      <c r="H543" s="201"/>
    </row>
    <row r="544" ht="15.75" customHeight="1">
      <c r="G544" s="201"/>
      <c r="H544" s="201"/>
    </row>
    <row r="545" ht="15.75" customHeight="1">
      <c r="G545" s="201"/>
      <c r="H545" s="201"/>
    </row>
    <row r="546" ht="15.75" customHeight="1">
      <c r="G546" s="201"/>
      <c r="H546" s="201"/>
    </row>
    <row r="547" ht="15.75" customHeight="1">
      <c r="G547" s="201"/>
      <c r="H547" s="201"/>
    </row>
    <row r="548" ht="15.75" customHeight="1">
      <c r="G548" s="201"/>
      <c r="H548" s="201"/>
    </row>
    <row r="549" ht="15.75" customHeight="1">
      <c r="G549" s="201"/>
      <c r="H549" s="201"/>
    </row>
    <row r="550" ht="15.75" customHeight="1">
      <c r="G550" s="201"/>
      <c r="H550" s="201"/>
    </row>
    <row r="551" ht="15.75" customHeight="1">
      <c r="G551" s="201"/>
      <c r="H551" s="201"/>
    </row>
    <row r="552" ht="15.75" customHeight="1">
      <c r="G552" s="201"/>
      <c r="H552" s="201"/>
    </row>
    <row r="553" ht="15.75" customHeight="1">
      <c r="G553" s="201"/>
      <c r="H553" s="201"/>
    </row>
    <row r="554" ht="15.75" customHeight="1">
      <c r="G554" s="201"/>
      <c r="H554" s="201"/>
    </row>
    <row r="555" ht="15.75" customHeight="1">
      <c r="G555" s="201"/>
      <c r="H555" s="201"/>
    </row>
    <row r="556" ht="15.75" customHeight="1">
      <c r="G556" s="201"/>
      <c r="H556" s="201"/>
    </row>
    <row r="557" ht="15.75" customHeight="1">
      <c r="G557" s="201"/>
      <c r="H557" s="201"/>
    </row>
    <row r="558" ht="15.75" customHeight="1">
      <c r="G558" s="201"/>
      <c r="H558" s="201"/>
    </row>
    <row r="559" ht="15.75" customHeight="1">
      <c r="G559" s="201"/>
      <c r="H559" s="201"/>
    </row>
    <row r="560" ht="15.75" customHeight="1">
      <c r="G560" s="201"/>
      <c r="H560" s="201"/>
    </row>
    <row r="561" ht="15.75" customHeight="1">
      <c r="G561" s="201"/>
      <c r="H561" s="201"/>
    </row>
    <row r="562" ht="15.75" customHeight="1">
      <c r="G562" s="201"/>
      <c r="H562" s="201"/>
    </row>
    <row r="563" ht="15.75" customHeight="1">
      <c r="G563" s="201"/>
      <c r="H563" s="201"/>
    </row>
    <row r="564" ht="15.75" customHeight="1">
      <c r="G564" s="201"/>
      <c r="H564" s="201"/>
    </row>
    <row r="565" ht="15.75" customHeight="1">
      <c r="G565" s="201"/>
      <c r="H565" s="201"/>
    </row>
    <row r="566" ht="15.75" customHeight="1">
      <c r="G566" s="201"/>
      <c r="H566" s="201"/>
    </row>
    <row r="567" ht="15.75" customHeight="1">
      <c r="G567" s="201"/>
      <c r="H567" s="201"/>
    </row>
    <row r="568" ht="15.75" customHeight="1">
      <c r="G568" s="201"/>
      <c r="H568" s="201"/>
    </row>
    <row r="569" ht="15.75" customHeight="1">
      <c r="G569" s="201"/>
      <c r="H569" s="201"/>
    </row>
    <row r="570" ht="15.75" customHeight="1">
      <c r="G570" s="201"/>
      <c r="H570" s="201"/>
    </row>
    <row r="571" ht="15.75" customHeight="1">
      <c r="G571" s="201"/>
      <c r="H571" s="201"/>
    </row>
    <row r="572" ht="15.75" customHeight="1">
      <c r="G572" s="201"/>
      <c r="H572" s="201"/>
    </row>
    <row r="573" ht="15.75" customHeight="1">
      <c r="G573" s="201"/>
      <c r="H573" s="201"/>
    </row>
    <row r="574" ht="15.75" customHeight="1">
      <c r="G574" s="201"/>
      <c r="H574" s="201"/>
    </row>
    <row r="575" ht="15.75" customHeight="1">
      <c r="G575" s="201"/>
      <c r="H575" s="201"/>
    </row>
    <row r="576" ht="15.75" customHeight="1">
      <c r="G576" s="201"/>
      <c r="H576" s="201"/>
    </row>
    <row r="577" ht="15.75" customHeight="1">
      <c r="G577" s="201"/>
      <c r="H577" s="201"/>
    </row>
    <row r="578" ht="15.75" customHeight="1">
      <c r="G578" s="201"/>
      <c r="H578" s="201"/>
    </row>
    <row r="579" ht="15.75" customHeight="1">
      <c r="G579" s="201"/>
      <c r="H579" s="201"/>
    </row>
    <row r="580" ht="15.75" customHeight="1">
      <c r="G580" s="201"/>
      <c r="H580" s="201"/>
    </row>
    <row r="581" ht="15.75" customHeight="1">
      <c r="G581" s="201"/>
      <c r="H581" s="201"/>
    </row>
    <row r="582" ht="15.75" customHeight="1">
      <c r="G582" s="201"/>
      <c r="H582" s="201"/>
    </row>
    <row r="583" ht="15.75" customHeight="1">
      <c r="G583" s="201"/>
      <c r="H583" s="201"/>
    </row>
    <row r="584" ht="15.75" customHeight="1">
      <c r="G584" s="201"/>
      <c r="H584" s="201"/>
    </row>
    <row r="585" ht="15.75" customHeight="1">
      <c r="G585" s="201"/>
      <c r="H585" s="201"/>
    </row>
    <row r="586" ht="15.75" customHeight="1">
      <c r="G586" s="201"/>
      <c r="H586" s="201"/>
    </row>
    <row r="587" ht="15.75" customHeight="1">
      <c r="G587" s="201"/>
      <c r="H587" s="201"/>
    </row>
    <row r="588" ht="15.75" customHeight="1">
      <c r="G588" s="201"/>
      <c r="H588" s="201"/>
    </row>
    <row r="589" ht="15.75" customHeight="1">
      <c r="G589" s="201"/>
      <c r="H589" s="201"/>
    </row>
    <row r="590" ht="15.75" customHeight="1">
      <c r="G590" s="201"/>
      <c r="H590" s="201"/>
    </row>
    <row r="591" ht="15.75" customHeight="1">
      <c r="G591" s="201"/>
      <c r="H591" s="201"/>
    </row>
    <row r="592" ht="15.75" customHeight="1">
      <c r="G592" s="201"/>
      <c r="H592" s="201"/>
    </row>
    <row r="593" ht="15.75" customHeight="1">
      <c r="G593" s="201"/>
      <c r="H593" s="201"/>
    </row>
    <row r="594" ht="15.75" customHeight="1">
      <c r="G594" s="201"/>
      <c r="H594" s="201"/>
    </row>
    <row r="595" ht="15.75" customHeight="1">
      <c r="G595" s="201"/>
      <c r="H595" s="201"/>
    </row>
    <row r="596" ht="15.75" customHeight="1">
      <c r="G596" s="201"/>
      <c r="H596" s="201"/>
    </row>
    <row r="597" ht="15.75" customHeight="1">
      <c r="G597" s="201"/>
      <c r="H597" s="201"/>
    </row>
    <row r="598" ht="15.75" customHeight="1">
      <c r="G598" s="201"/>
      <c r="H598" s="201"/>
    </row>
    <row r="599" ht="15.75" customHeight="1">
      <c r="G599" s="201"/>
      <c r="H599" s="201"/>
    </row>
    <row r="600" ht="15.75" customHeight="1">
      <c r="G600" s="201"/>
      <c r="H600" s="201"/>
    </row>
    <row r="601" ht="15.75" customHeight="1">
      <c r="G601" s="201"/>
      <c r="H601" s="201"/>
    </row>
    <row r="602" ht="15.75" customHeight="1">
      <c r="G602" s="201"/>
      <c r="H602" s="201"/>
    </row>
    <row r="603" ht="15.75" customHeight="1">
      <c r="G603" s="201"/>
      <c r="H603" s="201"/>
    </row>
    <row r="604" ht="15.75" customHeight="1">
      <c r="G604" s="201"/>
      <c r="H604" s="201"/>
    </row>
    <row r="605" ht="15.75" customHeight="1">
      <c r="G605" s="201"/>
      <c r="H605" s="201"/>
    </row>
    <row r="606" ht="15.75" customHeight="1">
      <c r="G606" s="201"/>
      <c r="H606" s="201"/>
    </row>
    <row r="607" ht="15.75" customHeight="1">
      <c r="G607" s="201"/>
      <c r="H607" s="201"/>
    </row>
    <row r="608" ht="15.75" customHeight="1">
      <c r="G608" s="201"/>
      <c r="H608" s="201"/>
    </row>
    <row r="609" ht="15.75" customHeight="1">
      <c r="G609" s="201"/>
      <c r="H609" s="201"/>
    </row>
    <row r="610" ht="15.75" customHeight="1">
      <c r="G610" s="201"/>
      <c r="H610" s="201"/>
    </row>
    <row r="611" ht="15.75" customHeight="1">
      <c r="G611" s="201"/>
      <c r="H611" s="201"/>
    </row>
    <row r="612" ht="15.75" customHeight="1">
      <c r="G612" s="201"/>
      <c r="H612" s="201"/>
    </row>
    <row r="613" ht="15.75" customHeight="1">
      <c r="G613" s="201"/>
      <c r="H613" s="201"/>
    </row>
    <row r="614" ht="15.75" customHeight="1">
      <c r="G614" s="201"/>
      <c r="H614" s="201"/>
    </row>
    <row r="615" ht="15.75" customHeight="1">
      <c r="G615" s="201"/>
      <c r="H615" s="201"/>
    </row>
    <row r="616" ht="15.75" customHeight="1">
      <c r="G616" s="201"/>
      <c r="H616" s="201"/>
    </row>
    <row r="617" ht="15.75" customHeight="1">
      <c r="G617" s="201"/>
      <c r="H617" s="201"/>
    </row>
    <row r="618" ht="15.75" customHeight="1">
      <c r="G618" s="201"/>
      <c r="H618" s="201"/>
    </row>
    <row r="619" ht="15.75" customHeight="1">
      <c r="G619" s="201"/>
      <c r="H619" s="201"/>
    </row>
    <row r="620" ht="15.75" customHeight="1">
      <c r="G620" s="201"/>
      <c r="H620" s="201"/>
    </row>
    <row r="621" ht="15.75" customHeight="1">
      <c r="G621" s="201"/>
      <c r="H621" s="201"/>
    </row>
    <row r="622" ht="15.75" customHeight="1">
      <c r="G622" s="201"/>
      <c r="H622" s="201"/>
    </row>
    <row r="623" ht="15.75" customHeight="1">
      <c r="G623" s="201"/>
      <c r="H623" s="201"/>
    </row>
    <row r="624" ht="15.75" customHeight="1">
      <c r="G624" s="201"/>
      <c r="H624" s="201"/>
    </row>
    <row r="625" ht="15.75" customHeight="1">
      <c r="G625" s="201"/>
      <c r="H625" s="201"/>
    </row>
    <row r="626" ht="15.75" customHeight="1">
      <c r="G626" s="201"/>
      <c r="H626" s="201"/>
    </row>
    <row r="627" ht="15.75" customHeight="1">
      <c r="G627" s="201"/>
      <c r="H627" s="201"/>
    </row>
    <row r="628" ht="15.75" customHeight="1">
      <c r="G628" s="201"/>
      <c r="H628" s="201"/>
    </row>
    <row r="629" ht="15.75" customHeight="1">
      <c r="G629" s="201"/>
      <c r="H629" s="201"/>
    </row>
    <row r="630" ht="15.75" customHeight="1">
      <c r="G630" s="201"/>
      <c r="H630" s="201"/>
    </row>
    <row r="631" ht="15.75" customHeight="1">
      <c r="G631" s="201"/>
      <c r="H631" s="201"/>
    </row>
    <row r="632" ht="15.75" customHeight="1">
      <c r="G632" s="201"/>
      <c r="H632" s="201"/>
    </row>
    <row r="633" ht="15.75" customHeight="1">
      <c r="G633" s="201"/>
      <c r="H633" s="201"/>
    </row>
    <row r="634" ht="15.75" customHeight="1">
      <c r="G634" s="201"/>
      <c r="H634" s="201"/>
    </row>
    <row r="635" ht="15.75" customHeight="1">
      <c r="G635" s="201"/>
      <c r="H635" s="201"/>
    </row>
    <row r="636" ht="15.75" customHeight="1">
      <c r="G636" s="201"/>
      <c r="H636" s="201"/>
    </row>
    <row r="637" ht="15.75" customHeight="1">
      <c r="G637" s="201"/>
      <c r="H637" s="201"/>
    </row>
    <row r="638" ht="15.75" customHeight="1">
      <c r="G638" s="201"/>
      <c r="H638" s="201"/>
    </row>
    <row r="639" ht="15.75" customHeight="1">
      <c r="G639" s="201"/>
      <c r="H639" s="201"/>
    </row>
    <row r="640" ht="15.75" customHeight="1">
      <c r="G640" s="201"/>
      <c r="H640" s="201"/>
    </row>
    <row r="641" ht="15.75" customHeight="1">
      <c r="G641" s="201"/>
      <c r="H641" s="201"/>
    </row>
    <row r="642" ht="15.75" customHeight="1">
      <c r="G642" s="201"/>
      <c r="H642" s="201"/>
    </row>
    <row r="643" ht="15.75" customHeight="1">
      <c r="G643" s="201"/>
      <c r="H643" s="201"/>
    </row>
    <row r="644" ht="15.75" customHeight="1">
      <c r="G644" s="201"/>
      <c r="H644" s="201"/>
    </row>
    <row r="645" ht="15.75" customHeight="1">
      <c r="G645" s="201"/>
      <c r="H645" s="201"/>
    </row>
    <row r="646" ht="15.75" customHeight="1">
      <c r="G646" s="201"/>
      <c r="H646" s="201"/>
    </row>
    <row r="647" ht="15.75" customHeight="1">
      <c r="G647" s="201"/>
      <c r="H647" s="201"/>
    </row>
    <row r="648" ht="15.75" customHeight="1">
      <c r="G648" s="201"/>
      <c r="H648" s="201"/>
    </row>
    <row r="649" ht="15.75" customHeight="1">
      <c r="G649" s="201"/>
      <c r="H649" s="201"/>
    </row>
    <row r="650" ht="15.75" customHeight="1">
      <c r="G650" s="201"/>
      <c r="H650" s="201"/>
    </row>
    <row r="651" ht="15.75" customHeight="1">
      <c r="G651" s="201"/>
      <c r="H651" s="201"/>
    </row>
    <row r="652" ht="15.75" customHeight="1">
      <c r="G652" s="201"/>
      <c r="H652" s="201"/>
    </row>
    <row r="653" ht="15.75" customHeight="1">
      <c r="G653" s="201"/>
      <c r="H653" s="201"/>
    </row>
    <row r="654" ht="15.75" customHeight="1">
      <c r="G654" s="201"/>
      <c r="H654" s="201"/>
    </row>
    <row r="655" ht="15.75" customHeight="1">
      <c r="G655" s="201"/>
      <c r="H655" s="201"/>
    </row>
    <row r="656" ht="15.75" customHeight="1">
      <c r="G656" s="201"/>
      <c r="H656" s="201"/>
    </row>
    <row r="657" ht="15.75" customHeight="1">
      <c r="G657" s="201"/>
      <c r="H657" s="201"/>
    </row>
    <row r="658" ht="15.75" customHeight="1">
      <c r="G658" s="201"/>
      <c r="H658" s="201"/>
    </row>
    <row r="659" ht="15.75" customHeight="1">
      <c r="G659" s="201"/>
      <c r="H659" s="201"/>
    </row>
    <row r="660" ht="15.75" customHeight="1">
      <c r="G660" s="201"/>
      <c r="H660" s="201"/>
    </row>
    <row r="661" ht="15.75" customHeight="1">
      <c r="G661" s="201"/>
      <c r="H661" s="201"/>
    </row>
    <row r="662" ht="15.75" customHeight="1">
      <c r="G662" s="201"/>
      <c r="H662" s="201"/>
    </row>
    <row r="663" ht="15.75" customHeight="1">
      <c r="G663" s="201"/>
      <c r="H663" s="201"/>
    </row>
    <row r="664" ht="15.75" customHeight="1">
      <c r="G664" s="201"/>
      <c r="H664" s="201"/>
    </row>
    <row r="665" ht="15.75" customHeight="1">
      <c r="G665" s="201"/>
      <c r="H665" s="201"/>
    </row>
    <row r="666" ht="15.75" customHeight="1">
      <c r="G666" s="201"/>
      <c r="H666" s="201"/>
    </row>
    <row r="667" ht="15.75" customHeight="1">
      <c r="G667" s="201"/>
      <c r="H667" s="201"/>
    </row>
    <row r="668" ht="15.75" customHeight="1">
      <c r="G668" s="201"/>
      <c r="H668" s="201"/>
    </row>
    <row r="669" ht="15.75" customHeight="1">
      <c r="G669" s="201"/>
      <c r="H669" s="201"/>
    </row>
    <row r="670" ht="15.75" customHeight="1">
      <c r="G670" s="201"/>
      <c r="H670" s="201"/>
    </row>
    <row r="671" ht="15.75" customHeight="1">
      <c r="G671" s="201"/>
      <c r="H671" s="201"/>
    </row>
    <row r="672" ht="15.75" customHeight="1">
      <c r="G672" s="201"/>
      <c r="H672" s="201"/>
    </row>
    <row r="673" ht="15.75" customHeight="1">
      <c r="G673" s="201"/>
      <c r="H673" s="201"/>
    </row>
    <row r="674" ht="15.75" customHeight="1">
      <c r="G674" s="201"/>
      <c r="H674" s="201"/>
    </row>
    <row r="675" ht="15.75" customHeight="1">
      <c r="G675" s="201"/>
      <c r="H675" s="201"/>
    </row>
    <row r="676" ht="15.75" customHeight="1">
      <c r="G676" s="201"/>
      <c r="H676" s="201"/>
    </row>
    <row r="677" ht="15.75" customHeight="1">
      <c r="G677" s="201"/>
      <c r="H677" s="201"/>
    </row>
    <row r="678" ht="15.75" customHeight="1">
      <c r="G678" s="201"/>
      <c r="H678" s="201"/>
    </row>
    <row r="679" ht="15.75" customHeight="1">
      <c r="G679" s="201"/>
      <c r="H679" s="201"/>
    </row>
    <row r="680" ht="15.75" customHeight="1">
      <c r="G680" s="201"/>
      <c r="H680" s="201"/>
    </row>
    <row r="681" ht="15.75" customHeight="1">
      <c r="G681" s="201"/>
      <c r="H681" s="201"/>
    </row>
    <row r="682" ht="15.75" customHeight="1">
      <c r="G682" s="201"/>
      <c r="H682" s="201"/>
    </row>
    <row r="683" ht="15.75" customHeight="1">
      <c r="G683" s="201"/>
      <c r="H683" s="201"/>
    </row>
    <row r="684" ht="15.75" customHeight="1">
      <c r="G684" s="201"/>
      <c r="H684" s="201"/>
    </row>
    <row r="685" ht="15.75" customHeight="1">
      <c r="G685" s="201"/>
      <c r="H685" s="201"/>
    </row>
    <row r="686" ht="15.75" customHeight="1">
      <c r="G686" s="201"/>
      <c r="H686" s="201"/>
    </row>
    <row r="687" ht="15.75" customHeight="1">
      <c r="G687" s="201"/>
      <c r="H687" s="201"/>
    </row>
    <row r="688" ht="15.75" customHeight="1">
      <c r="G688" s="201"/>
      <c r="H688" s="201"/>
    </row>
    <row r="689" ht="15.75" customHeight="1">
      <c r="G689" s="201"/>
      <c r="H689" s="201"/>
    </row>
    <row r="690" ht="15.75" customHeight="1">
      <c r="G690" s="201"/>
      <c r="H690" s="201"/>
    </row>
    <row r="691" ht="15.75" customHeight="1">
      <c r="G691" s="201"/>
      <c r="H691" s="201"/>
    </row>
    <row r="692" ht="15.75" customHeight="1">
      <c r="G692" s="201"/>
      <c r="H692" s="201"/>
    </row>
    <row r="693" ht="15.75" customHeight="1">
      <c r="G693" s="201"/>
      <c r="H693" s="201"/>
    </row>
    <row r="694" ht="15.75" customHeight="1">
      <c r="G694" s="201"/>
      <c r="H694" s="201"/>
    </row>
    <row r="695" ht="15.75" customHeight="1">
      <c r="G695" s="201"/>
      <c r="H695" s="201"/>
    </row>
    <row r="696" ht="15.75" customHeight="1">
      <c r="G696" s="201"/>
      <c r="H696" s="201"/>
    </row>
    <row r="697" ht="15.75" customHeight="1">
      <c r="G697" s="201"/>
      <c r="H697" s="201"/>
    </row>
    <row r="698" ht="15.75" customHeight="1">
      <c r="G698" s="201"/>
      <c r="H698" s="201"/>
    </row>
    <row r="699" ht="15.75" customHeight="1">
      <c r="G699" s="201"/>
      <c r="H699" s="201"/>
    </row>
    <row r="700" ht="15.75" customHeight="1">
      <c r="G700" s="201"/>
      <c r="H700" s="201"/>
    </row>
    <row r="701" ht="15.75" customHeight="1">
      <c r="G701" s="201"/>
      <c r="H701" s="201"/>
    </row>
    <row r="702" ht="15.75" customHeight="1">
      <c r="G702" s="201"/>
      <c r="H702" s="201"/>
    </row>
    <row r="703" ht="15.75" customHeight="1">
      <c r="G703" s="201"/>
      <c r="H703" s="201"/>
    </row>
    <row r="704" ht="15.75" customHeight="1">
      <c r="G704" s="201"/>
      <c r="H704" s="201"/>
    </row>
    <row r="705" ht="15.75" customHeight="1">
      <c r="G705" s="201"/>
      <c r="H705" s="201"/>
    </row>
    <row r="706" ht="15.75" customHeight="1">
      <c r="G706" s="201"/>
      <c r="H706" s="201"/>
    </row>
    <row r="707" ht="15.75" customHeight="1">
      <c r="G707" s="201"/>
      <c r="H707" s="201"/>
    </row>
    <row r="708" ht="15.75" customHeight="1">
      <c r="G708" s="201"/>
      <c r="H708" s="201"/>
    </row>
    <row r="709" ht="15.75" customHeight="1">
      <c r="G709" s="201"/>
      <c r="H709" s="201"/>
    </row>
    <row r="710" ht="15.75" customHeight="1">
      <c r="G710" s="201"/>
      <c r="H710" s="201"/>
    </row>
    <row r="711" ht="15.75" customHeight="1">
      <c r="G711" s="201"/>
      <c r="H711" s="201"/>
    </row>
    <row r="712" ht="15.75" customHeight="1">
      <c r="G712" s="201"/>
      <c r="H712" s="201"/>
    </row>
    <row r="713" ht="15.75" customHeight="1">
      <c r="G713" s="201"/>
      <c r="H713" s="201"/>
    </row>
    <row r="714" ht="15.75" customHeight="1">
      <c r="G714" s="201"/>
      <c r="H714" s="201"/>
    </row>
    <row r="715" ht="15.75" customHeight="1">
      <c r="G715" s="201"/>
      <c r="H715" s="201"/>
    </row>
    <row r="716" ht="15.75" customHeight="1">
      <c r="G716" s="201"/>
      <c r="H716" s="201"/>
    </row>
    <row r="717" ht="15.75" customHeight="1">
      <c r="G717" s="201"/>
      <c r="H717" s="201"/>
    </row>
    <row r="718" ht="15.75" customHeight="1">
      <c r="G718" s="201"/>
      <c r="H718" s="201"/>
    </row>
    <row r="719" ht="15.75" customHeight="1">
      <c r="G719" s="201"/>
      <c r="H719" s="201"/>
    </row>
    <row r="720" ht="15.75" customHeight="1">
      <c r="G720" s="201"/>
      <c r="H720" s="201"/>
    </row>
    <row r="721" ht="15.75" customHeight="1">
      <c r="G721" s="201"/>
      <c r="H721" s="201"/>
    </row>
    <row r="722" ht="15.75" customHeight="1">
      <c r="G722" s="201"/>
      <c r="H722" s="201"/>
    </row>
    <row r="723" ht="15.75" customHeight="1">
      <c r="G723" s="201"/>
      <c r="H723" s="201"/>
    </row>
    <row r="724" ht="15.75" customHeight="1">
      <c r="G724" s="201"/>
      <c r="H724" s="201"/>
    </row>
    <row r="725" ht="15.75" customHeight="1">
      <c r="G725" s="201"/>
      <c r="H725" s="201"/>
    </row>
    <row r="726" ht="15.75" customHeight="1">
      <c r="G726" s="201"/>
      <c r="H726" s="201"/>
    </row>
    <row r="727" ht="15.75" customHeight="1">
      <c r="G727" s="201"/>
      <c r="H727" s="201"/>
    </row>
    <row r="728" ht="15.75" customHeight="1">
      <c r="G728" s="201"/>
      <c r="H728" s="201"/>
    </row>
    <row r="729" ht="15.75" customHeight="1">
      <c r="G729" s="201"/>
      <c r="H729" s="201"/>
    </row>
    <row r="730" ht="15.75" customHeight="1">
      <c r="G730" s="201"/>
      <c r="H730" s="201"/>
    </row>
    <row r="731" ht="15.75" customHeight="1">
      <c r="G731" s="201"/>
      <c r="H731" s="201"/>
    </row>
    <row r="732" ht="15.75" customHeight="1">
      <c r="G732" s="201"/>
      <c r="H732" s="201"/>
    </row>
    <row r="733" ht="15.75" customHeight="1">
      <c r="G733" s="201"/>
      <c r="H733" s="201"/>
    </row>
    <row r="734" ht="15.75" customHeight="1">
      <c r="G734" s="201"/>
      <c r="H734" s="201"/>
    </row>
    <row r="735" ht="15.75" customHeight="1">
      <c r="G735" s="201"/>
      <c r="H735" s="201"/>
    </row>
    <row r="736" ht="15.75" customHeight="1">
      <c r="G736" s="201"/>
      <c r="H736" s="201"/>
    </row>
    <row r="737" ht="15.75" customHeight="1">
      <c r="G737" s="201"/>
      <c r="H737" s="201"/>
    </row>
    <row r="738" ht="15.75" customHeight="1">
      <c r="G738" s="201"/>
      <c r="H738" s="201"/>
    </row>
    <row r="739" ht="15.75" customHeight="1">
      <c r="G739" s="201"/>
      <c r="H739" s="201"/>
    </row>
    <row r="740" ht="15.75" customHeight="1">
      <c r="G740" s="201"/>
      <c r="H740" s="201"/>
    </row>
    <row r="741" ht="15.75" customHeight="1">
      <c r="G741" s="201"/>
      <c r="H741" s="201"/>
    </row>
    <row r="742" ht="15.75" customHeight="1">
      <c r="G742" s="201"/>
      <c r="H742" s="201"/>
    </row>
    <row r="743" ht="15.75" customHeight="1">
      <c r="G743" s="201"/>
      <c r="H743" s="201"/>
    </row>
    <row r="744" ht="15.75" customHeight="1">
      <c r="G744" s="201"/>
      <c r="H744" s="201"/>
    </row>
    <row r="745" ht="15.75" customHeight="1">
      <c r="G745" s="201"/>
      <c r="H745" s="201"/>
    </row>
    <row r="746" ht="15.75" customHeight="1">
      <c r="G746" s="201"/>
      <c r="H746" s="201"/>
    </row>
    <row r="747" ht="15.75" customHeight="1">
      <c r="G747" s="201"/>
      <c r="H747" s="201"/>
    </row>
    <row r="748" ht="15.75" customHeight="1">
      <c r="G748" s="201"/>
      <c r="H748" s="201"/>
    </row>
    <row r="749" ht="15.75" customHeight="1">
      <c r="G749" s="201"/>
      <c r="H749" s="201"/>
    </row>
    <row r="750" ht="15.75" customHeight="1">
      <c r="G750" s="201"/>
      <c r="H750" s="201"/>
    </row>
    <row r="751" ht="15.75" customHeight="1">
      <c r="G751" s="201"/>
      <c r="H751" s="201"/>
    </row>
    <row r="752" ht="15.75" customHeight="1">
      <c r="G752" s="201"/>
      <c r="H752" s="201"/>
    </row>
    <row r="753" ht="15.75" customHeight="1">
      <c r="G753" s="201"/>
      <c r="H753" s="201"/>
    </row>
    <row r="754" ht="15.75" customHeight="1">
      <c r="G754" s="201"/>
      <c r="H754" s="201"/>
    </row>
    <row r="755" ht="15.75" customHeight="1">
      <c r="G755" s="201"/>
      <c r="H755" s="201"/>
    </row>
    <row r="756" ht="15.75" customHeight="1">
      <c r="G756" s="201"/>
      <c r="H756" s="201"/>
    </row>
    <row r="757" ht="15.75" customHeight="1">
      <c r="G757" s="201"/>
      <c r="H757" s="201"/>
    </row>
    <row r="758" ht="15.75" customHeight="1">
      <c r="G758" s="201"/>
      <c r="H758" s="201"/>
    </row>
    <row r="759" ht="15.75" customHeight="1">
      <c r="G759" s="201"/>
      <c r="H759" s="201"/>
    </row>
    <row r="760" ht="15.75" customHeight="1">
      <c r="G760" s="201"/>
      <c r="H760" s="201"/>
    </row>
    <row r="761" ht="15.75" customHeight="1">
      <c r="G761" s="201"/>
      <c r="H761" s="201"/>
    </row>
    <row r="762" ht="15.75" customHeight="1">
      <c r="G762" s="201"/>
      <c r="H762" s="201"/>
    </row>
    <row r="763" ht="15.75" customHeight="1">
      <c r="G763" s="201"/>
      <c r="H763" s="201"/>
    </row>
    <row r="764" ht="15.75" customHeight="1">
      <c r="G764" s="201"/>
      <c r="H764" s="201"/>
    </row>
    <row r="765" ht="15.75" customHeight="1">
      <c r="G765" s="201"/>
      <c r="H765" s="201"/>
    </row>
    <row r="766" ht="15.75" customHeight="1">
      <c r="G766" s="201"/>
      <c r="H766" s="201"/>
    </row>
    <row r="767" ht="15.75" customHeight="1">
      <c r="G767" s="201"/>
      <c r="H767" s="201"/>
    </row>
    <row r="768" ht="15.75" customHeight="1">
      <c r="G768" s="201"/>
      <c r="H768" s="201"/>
    </row>
    <row r="769" ht="15.75" customHeight="1">
      <c r="G769" s="201"/>
      <c r="H769" s="201"/>
    </row>
    <row r="770" ht="15.75" customHeight="1">
      <c r="G770" s="201"/>
      <c r="H770" s="201"/>
    </row>
    <row r="771" ht="15.75" customHeight="1">
      <c r="G771" s="201"/>
      <c r="H771" s="201"/>
    </row>
    <row r="772" ht="15.75" customHeight="1">
      <c r="G772" s="201"/>
      <c r="H772" s="201"/>
    </row>
    <row r="773" ht="15.75" customHeight="1">
      <c r="G773" s="201"/>
      <c r="H773" s="201"/>
    </row>
    <row r="774" ht="15.75" customHeight="1">
      <c r="G774" s="201"/>
      <c r="H774" s="201"/>
    </row>
    <row r="775" ht="15.75" customHeight="1">
      <c r="G775" s="201"/>
      <c r="H775" s="201"/>
    </row>
    <row r="776" ht="15.75" customHeight="1">
      <c r="G776" s="201"/>
      <c r="H776" s="201"/>
    </row>
    <row r="777" ht="15.75" customHeight="1">
      <c r="G777" s="201"/>
      <c r="H777" s="201"/>
    </row>
    <row r="778" ht="15.75" customHeight="1">
      <c r="G778" s="201"/>
      <c r="H778" s="201"/>
    </row>
    <row r="779" ht="15.75" customHeight="1">
      <c r="G779" s="201"/>
      <c r="H779" s="201"/>
    </row>
    <row r="780" ht="15.75" customHeight="1">
      <c r="G780" s="201"/>
      <c r="H780" s="201"/>
    </row>
    <row r="781" ht="15.75" customHeight="1">
      <c r="G781" s="201"/>
      <c r="H781" s="201"/>
    </row>
    <row r="782" ht="15.75" customHeight="1">
      <c r="G782" s="201"/>
      <c r="H782" s="201"/>
    </row>
    <row r="783" ht="15.75" customHeight="1">
      <c r="G783" s="201"/>
      <c r="H783" s="201"/>
    </row>
    <row r="784" ht="15.75" customHeight="1">
      <c r="G784" s="201"/>
      <c r="H784" s="201"/>
    </row>
    <row r="785" ht="15.75" customHeight="1">
      <c r="G785" s="201"/>
      <c r="H785" s="201"/>
    </row>
    <row r="786" ht="15.75" customHeight="1">
      <c r="G786" s="201"/>
      <c r="H786" s="201"/>
    </row>
    <row r="787" ht="15.75" customHeight="1">
      <c r="G787" s="201"/>
      <c r="H787" s="201"/>
    </row>
    <row r="788" ht="15.75" customHeight="1">
      <c r="G788" s="201"/>
      <c r="H788" s="201"/>
    </row>
    <row r="789" ht="15.75" customHeight="1">
      <c r="G789" s="201"/>
      <c r="H789" s="201"/>
    </row>
    <row r="790" ht="15.75" customHeight="1">
      <c r="G790" s="201"/>
      <c r="H790" s="201"/>
    </row>
    <row r="791" ht="15.75" customHeight="1">
      <c r="G791" s="201"/>
      <c r="H791" s="201"/>
    </row>
    <row r="792" ht="15.75" customHeight="1">
      <c r="G792" s="201"/>
      <c r="H792" s="201"/>
    </row>
    <row r="793" ht="15.75" customHeight="1">
      <c r="G793" s="201"/>
      <c r="H793" s="201"/>
    </row>
    <row r="794" ht="15.75" customHeight="1">
      <c r="G794" s="201"/>
      <c r="H794" s="201"/>
    </row>
    <row r="795" ht="15.75" customHeight="1">
      <c r="G795" s="201"/>
      <c r="H795" s="201"/>
    </row>
    <row r="796" ht="15.75" customHeight="1">
      <c r="G796" s="201"/>
      <c r="H796" s="201"/>
    </row>
    <row r="797" ht="15.75" customHeight="1">
      <c r="G797" s="201"/>
      <c r="H797" s="201"/>
    </row>
    <row r="798" ht="15.75" customHeight="1">
      <c r="G798" s="201"/>
      <c r="H798" s="201"/>
    </row>
    <row r="799" ht="15.75" customHeight="1">
      <c r="G799" s="201"/>
      <c r="H799" s="201"/>
    </row>
    <row r="800" ht="15.75" customHeight="1">
      <c r="G800" s="201"/>
      <c r="H800" s="201"/>
    </row>
    <row r="801" ht="15.75" customHeight="1">
      <c r="G801" s="201"/>
      <c r="H801" s="201"/>
    </row>
    <row r="802" ht="15.75" customHeight="1">
      <c r="G802" s="201"/>
      <c r="H802" s="201"/>
    </row>
    <row r="803" ht="15.75" customHeight="1">
      <c r="G803" s="201"/>
      <c r="H803" s="201"/>
    </row>
    <row r="804" ht="15.75" customHeight="1">
      <c r="G804" s="201"/>
      <c r="H804" s="201"/>
    </row>
    <row r="805" ht="15.75" customHeight="1">
      <c r="G805" s="201"/>
      <c r="H805" s="201"/>
    </row>
    <row r="806" ht="15.75" customHeight="1">
      <c r="G806" s="201"/>
      <c r="H806" s="201"/>
    </row>
    <row r="807" ht="15.75" customHeight="1">
      <c r="G807" s="201"/>
      <c r="H807" s="201"/>
    </row>
    <row r="808" ht="15.75" customHeight="1">
      <c r="G808" s="201"/>
      <c r="H808" s="201"/>
    </row>
    <row r="809" ht="15.75" customHeight="1">
      <c r="G809" s="201"/>
      <c r="H809" s="201"/>
    </row>
    <row r="810" ht="15.75" customHeight="1">
      <c r="G810" s="201"/>
      <c r="H810" s="201"/>
    </row>
    <row r="811" ht="15.75" customHeight="1">
      <c r="G811" s="201"/>
      <c r="H811" s="201"/>
    </row>
    <row r="812" ht="15.75" customHeight="1">
      <c r="G812" s="201"/>
      <c r="H812" s="201"/>
    </row>
    <row r="813" ht="15.75" customHeight="1">
      <c r="G813" s="201"/>
      <c r="H813" s="201"/>
    </row>
    <row r="814" ht="15.75" customHeight="1">
      <c r="G814" s="201"/>
      <c r="H814" s="201"/>
    </row>
    <row r="815" ht="15.75" customHeight="1">
      <c r="G815" s="201"/>
      <c r="H815" s="201"/>
    </row>
    <row r="816" ht="15.75" customHeight="1">
      <c r="G816" s="201"/>
      <c r="H816" s="201"/>
    </row>
    <row r="817" ht="15.75" customHeight="1">
      <c r="G817" s="201"/>
      <c r="H817" s="201"/>
    </row>
    <row r="818" ht="15.75" customHeight="1">
      <c r="G818" s="201"/>
      <c r="H818" s="201"/>
    </row>
    <row r="819" ht="15.75" customHeight="1">
      <c r="G819" s="201"/>
      <c r="H819" s="201"/>
    </row>
    <row r="820" ht="15.75" customHeight="1">
      <c r="G820" s="201"/>
      <c r="H820" s="201"/>
    </row>
    <row r="821" ht="15.75" customHeight="1">
      <c r="G821" s="201"/>
      <c r="H821" s="201"/>
    </row>
    <row r="822" ht="15.75" customHeight="1">
      <c r="G822" s="201"/>
      <c r="H822" s="201"/>
    </row>
    <row r="823" ht="15.75" customHeight="1">
      <c r="G823" s="201"/>
      <c r="H823" s="201"/>
    </row>
    <row r="824" ht="15.75" customHeight="1">
      <c r="G824" s="201"/>
      <c r="H824" s="201"/>
    </row>
    <row r="825" ht="15.75" customHeight="1">
      <c r="G825" s="201"/>
      <c r="H825" s="201"/>
    </row>
    <row r="826" ht="15.75" customHeight="1">
      <c r="G826" s="201"/>
      <c r="H826" s="201"/>
    </row>
    <row r="827" ht="15.75" customHeight="1">
      <c r="G827" s="201"/>
      <c r="H827" s="201"/>
    </row>
    <row r="828" ht="15.75" customHeight="1">
      <c r="G828" s="201"/>
      <c r="H828" s="201"/>
    </row>
    <row r="829" ht="15.75" customHeight="1">
      <c r="G829" s="201"/>
      <c r="H829" s="201"/>
    </row>
    <row r="830" ht="15.75" customHeight="1">
      <c r="G830" s="201"/>
      <c r="H830" s="201"/>
    </row>
    <row r="831" ht="15.75" customHeight="1">
      <c r="G831" s="201"/>
      <c r="H831" s="201"/>
    </row>
    <row r="832" ht="15.75" customHeight="1">
      <c r="G832" s="201"/>
      <c r="H832" s="201"/>
    </row>
    <row r="833" ht="15.75" customHeight="1">
      <c r="G833" s="201"/>
      <c r="H833" s="201"/>
    </row>
    <row r="834" ht="15.75" customHeight="1">
      <c r="G834" s="201"/>
      <c r="H834" s="201"/>
    </row>
    <row r="835" ht="15.75" customHeight="1">
      <c r="G835" s="201"/>
      <c r="H835" s="201"/>
    </row>
    <row r="836" ht="15.75" customHeight="1">
      <c r="G836" s="201"/>
      <c r="H836" s="201"/>
    </row>
    <row r="837" ht="15.75" customHeight="1">
      <c r="G837" s="201"/>
      <c r="H837" s="201"/>
    </row>
    <row r="838" ht="15.75" customHeight="1">
      <c r="G838" s="201"/>
      <c r="H838" s="201"/>
    </row>
    <row r="839" ht="15.75" customHeight="1">
      <c r="G839" s="201"/>
      <c r="H839" s="201"/>
    </row>
    <row r="840" ht="15.75" customHeight="1">
      <c r="G840" s="201"/>
      <c r="H840" s="201"/>
    </row>
    <row r="841" ht="15.75" customHeight="1">
      <c r="G841" s="201"/>
      <c r="H841" s="201"/>
    </row>
    <row r="842" ht="15.75" customHeight="1">
      <c r="G842" s="201"/>
      <c r="H842" s="201"/>
    </row>
    <row r="843" ht="15.75" customHeight="1">
      <c r="G843" s="201"/>
      <c r="H843" s="201"/>
    </row>
    <row r="844" ht="15.75" customHeight="1">
      <c r="G844" s="201"/>
      <c r="H844" s="201"/>
    </row>
    <row r="845" ht="15.75" customHeight="1">
      <c r="G845" s="201"/>
      <c r="H845" s="201"/>
    </row>
    <row r="846" ht="15.75" customHeight="1">
      <c r="G846" s="201"/>
      <c r="H846" s="201"/>
    </row>
    <row r="847" ht="15.75" customHeight="1">
      <c r="G847" s="201"/>
      <c r="H847" s="201"/>
    </row>
    <row r="848" ht="15.75" customHeight="1">
      <c r="G848" s="201"/>
      <c r="H848" s="201"/>
    </row>
    <row r="849" ht="15.75" customHeight="1">
      <c r="G849" s="201"/>
      <c r="H849" s="201"/>
    </row>
    <row r="850" ht="15.75" customHeight="1">
      <c r="G850" s="201"/>
      <c r="H850" s="201"/>
    </row>
    <row r="851" ht="15.75" customHeight="1">
      <c r="G851" s="201"/>
      <c r="H851" s="201"/>
    </row>
    <row r="852" ht="15.75" customHeight="1">
      <c r="G852" s="201"/>
      <c r="H852" s="201"/>
    </row>
    <row r="853" ht="15.75" customHeight="1">
      <c r="G853" s="201"/>
      <c r="H853" s="201"/>
    </row>
    <row r="854" ht="15.75" customHeight="1">
      <c r="G854" s="201"/>
      <c r="H854" s="201"/>
    </row>
    <row r="855" ht="15.75" customHeight="1">
      <c r="G855" s="201"/>
      <c r="H855" s="201"/>
    </row>
    <row r="856" ht="15.75" customHeight="1">
      <c r="G856" s="201"/>
      <c r="H856" s="201"/>
    </row>
    <row r="857" ht="15.75" customHeight="1">
      <c r="G857" s="201"/>
      <c r="H857" s="201"/>
    </row>
    <row r="858" ht="15.75" customHeight="1">
      <c r="G858" s="201"/>
      <c r="H858" s="201"/>
    </row>
    <row r="859" ht="15.75" customHeight="1">
      <c r="G859" s="201"/>
      <c r="H859" s="201"/>
    </row>
    <row r="860" ht="15.75" customHeight="1">
      <c r="G860" s="201"/>
      <c r="H860" s="201"/>
    </row>
    <row r="861" ht="15.75" customHeight="1">
      <c r="G861" s="201"/>
      <c r="H861" s="201"/>
    </row>
    <row r="862" ht="15.75" customHeight="1">
      <c r="G862" s="201"/>
      <c r="H862" s="201"/>
    </row>
    <row r="863" ht="15.75" customHeight="1">
      <c r="G863" s="201"/>
      <c r="H863" s="201"/>
    </row>
    <row r="864" ht="15.75" customHeight="1">
      <c r="G864" s="201"/>
      <c r="H864" s="201"/>
    </row>
    <row r="865" ht="15.75" customHeight="1">
      <c r="G865" s="201"/>
      <c r="H865" s="201"/>
    </row>
    <row r="866" ht="15.75" customHeight="1">
      <c r="G866" s="201"/>
      <c r="H866" s="201"/>
    </row>
    <row r="867" ht="15.75" customHeight="1">
      <c r="G867" s="201"/>
      <c r="H867" s="201"/>
    </row>
    <row r="868" ht="15.75" customHeight="1">
      <c r="G868" s="201"/>
      <c r="H868" s="201"/>
    </row>
    <row r="869" ht="15.75" customHeight="1">
      <c r="G869" s="201"/>
      <c r="H869" s="201"/>
    </row>
    <row r="870" ht="15.75" customHeight="1">
      <c r="G870" s="201"/>
      <c r="H870" s="201"/>
    </row>
    <row r="871" ht="15.75" customHeight="1">
      <c r="G871" s="201"/>
      <c r="H871" s="201"/>
    </row>
    <row r="872" ht="15.75" customHeight="1">
      <c r="G872" s="201"/>
      <c r="H872" s="201"/>
    </row>
    <row r="873" ht="15.75" customHeight="1">
      <c r="G873" s="201"/>
      <c r="H873" s="201"/>
    </row>
    <row r="874" ht="15.75" customHeight="1">
      <c r="G874" s="201"/>
      <c r="H874" s="201"/>
    </row>
    <row r="875" ht="15.75" customHeight="1">
      <c r="G875" s="201"/>
      <c r="H875" s="201"/>
    </row>
    <row r="876" ht="15.75" customHeight="1">
      <c r="G876" s="201"/>
      <c r="H876" s="201"/>
    </row>
    <row r="877" ht="15.75" customHeight="1">
      <c r="G877" s="201"/>
      <c r="H877" s="201"/>
    </row>
    <row r="878" ht="15.75" customHeight="1">
      <c r="G878" s="201"/>
      <c r="H878" s="201"/>
    </row>
    <row r="879" ht="15.75" customHeight="1">
      <c r="G879" s="201"/>
      <c r="H879" s="201"/>
    </row>
    <row r="880" ht="15.75" customHeight="1">
      <c r="G880" s="201"/>
      <c r="H880" s="201"/>
    </row>
    <row r="881" ht="15.75" customHeight="1">
      <c r="G881" s="201"/>
      <c r="H881" s="201"/>
    </row>
    <row r="882" ht="15.75" customHeight="1">
      <c r="G882" s="201"/>
      <c r="H882" s="201"/>
    </row>
    <row r="883" ht="15.75" customHeight="1">
      <c r="G883" s="201"/>
      <c r="H883" s="201"/>
    </row>
    <row r="884" ht="15.75" customHeight="1">
      <c r="G884" s="201"/>
      <c r="H884" s="201"/>
    </row>
    <row r="885" ht="15.75" customHeight="1">
      <c r="G885" s="201"/>
      <c r="H885" s="201"/>
    </row>
    <row r="886" ht="15.75" customHeight="1">
      <c r="G886" s="201"/>
      <c r="H886" s="201"/>
    </row>
    <row r="887" ht="15.75" customHeight="1">
      <c r="G887" s="201"/>
      <c r="H887" s="201"/>
    </row>
    <row r="888" ht="15.75" customHeight="1">
      <c r="G888" s="201"/>
      <c r="H888" s="201"/>
    </row>
    <row r="889" ht="15.75" customHeight="1">
      <c r="G889" s="201"/>
      <c r="H889" s="201"/>
    </row>
    <row r="890" ht="15.75" customHeight="1">
      <c r="G890" s="201"/>
      <c r="H890" s="201"/>
    </row>
    <row r="891" ht="15.75" customHeight="1">
      <c r="G891" s="201"/>
      <c r="H891" s="201"/>
    </row>
    <row r="892" ht="15.75" customHeight="1">
      <c r="G892" s="201"/>
      <c r="H892" s="201"/>
    </row>
    <row r="893" ht="15.75" customHeight="1">
      <c r="G893" s="201"/>
      <c r="H893" s="201"/>
    </row>
    <row r="894" ht="15.75" customHeight="1">
      <c r="G894" s="201"/>
      <c r="H894" s="201"/>
    </row>
    <row r="895" ht="15.75" customHeight="1">
      <c r="G895" s="201"/>
      <c r="H895" s="201"/>
    </row>
    <row r="896" ht="15.75" customHeight="1">
      <c r="G896" s="201"/>
      <c r="H896" s="201"/>
    </row>
    <row r="897" ht="15.75" customHeight="1">
      <c r="G897" s="201"/>
      <c r="H897" s="201"/>
    </row>
    <row r="898" ht="15.75" customHeight="1">
      <c r="G898" s="201"/>
      <c r="H898" s="201"/>
    </row>
    <row r="899" ht="15.75" customHeight="1">
      <c r="G899" s="201"/>
      <c r="H899" s="201"/>
    </row>
    <row r="900" ht="15.75" customHeight="1">
      <c r="G900" s="201"/>
      <c r="H900" s="201"/>
    </row>
    <row r="901" ht="15.75" customHeight="1">
      <c r="G901" s="201"/>
      <c r="H901" s="201"/>
    </row>
    <row r="902" ht="15.75" customHeight="1">
      <c r="G902" s="201"/>
      <c r="H902" s="201"/>
    </row>
    <row r="903" ht="15.75" customHeight="1">
      <c r="G903" s="201"/>
      <c r="H903" s="201"/>
    </row>
    <row r="904" ht="15.75" customHeight="1">
      <c r="G904" s="201"/>
      <c r="H904" s="201"/>
    </row>
    <row r="905" ht="15.75" customHeight="1">
      <c r="G905" s="201"/>
      <c r="H905" s="201"/>
    </row>
    <row r="906" ht="15.75" customHeight="1">
      <c r="G906" s="201"/>
      <c r="H906" s="201"/>
    </row>
    <row r="907" ht="15.75" customHeight="1">
      <c r="G907" s="201"/>
      <c r="H907" s="201"/>
    </row>
    <row r="908" ht="15.75" customHeight="1">
      <c r="G908" s="201"/>
      <c r="H908" s="201"/>
    </row>
    <row r="909" ht="15.75" customHeight="1">
      <c r="G909" s="201"/>
      <c r="H909" s="201"/>
    </row>
    <row r="910" ht="15.75" customHeight="1">
      <c r="G910" s="201"/>
      <c r="H910" s="201"/>
    </row>
    <row r="911" ht="15.75" customHeight="1">
      <c r="G911" s="201"/>
      <c r="H911" s="201"/>
    </row>
    <row r="912" ht="15.75" customHeight="1">
      <c r="G912" s="201"/>
      <c r="H912" s="201"/>
    </row>
    <row r="913" ht="15.75" customHeight="1">
      <c r="G913" s="201"/>
      <c r="H913" s="201"/>
    </row>
    <row r="914" ht="15.75" customHeight="1">
      <c r="G914" s="201"/>
      <c r="H914" s="201"/>
    </row>
    <row r="915" ht="15.75" customHeight="1">
      <c r="G915" s="201"/>
      <c r="H915" s="201"/>
    </row>
    <row r="916" ht="15.75" customHeight="1">
      <c r="G916" s="201"/>
      <c r="H916" s="201"/>
    </row>
    <row r="917" ht="15.75" customHeight="1">
      <c r="G917" s="201"/>
      <c r="H917" s="201"/>
    </row>
    <row r="918" ht="15.75" customHeight="1">
      <c r="G918" s="201"/>
      <c r="H918" s="201"/>
    </row>
    <row r="919" ht="15.75" customHeight="1">
      <c r="G919" s="201"/>
      <c r="H919" s="201"/>
    </row>
    <row r="920" ht="15.75" customHeight="1">
      <c r="G920" s="201"/>
      <c r="H920" s="201"/>
    </row>
    <row r="921" ht="15.75" customHeight="1">
      <c r="G921" s="201"/>
      <c r="H921" s="201"/>
    </row>
    <row r="922" ht="15.75" customHeight="1">
      <c r="G922" s="201"/>
      <c r="H922" s="201"/>
    </row>
    <row r="923" ht="15.75" customHeight="1">
      <c r="G923" s="201"/>
      <c r="H923" s="201"/>
    </row>
    <row r="924" ht="15.75" customHeight="1">
      <c r="G924" s="201"/>
      <c r="H924" s="201"/>
    </row>
    <row r="925" ht="15.75" customHeight="1">
      <c r="G925" s="201"/>
      <c r="H925" s="201"/>
    </row>
    <row r="926" ht="15.75" customHeight="1">
      <c r="G926" s="201"/>
      <c r="H926" s="201"/>
    </row>
    <row r="927" ht="15.75" customHeight="1">
      <c r="G927" s="201"/>
      <c r="H927" s="201"/>
    </row>
    <row r="928" ht="15.75" customHeight="1">
      <c r="G928" s="201"/>
      <c r="H928" s="201"/>
    </row>
    <row r="929" ht="15.75" customHeight="1">
      <c r="G929" s="201"/>
      <c r="H929" s="201"/>
    </row>
    <row r="930" ht="15.75" customHeight="1">
      <c r="G930" s="201"/>
      <c r="H930" s="201"/>
    </row>
    <row r="931" ht="15.75" customHeight="1">
      <c r="G931" s="201"/>
      <c r="H931" s="201"/>
    </row>
    <row r="932" ht="15.75" customHeight="1">
      <c r="G932" s="201"/>
      <c r="H932" s="201"/>
    </row>
    <row r="933" ht="15.75" customHeight="1">
      <c r="G933" s="201"/>
      <c r="H933" s="201"/>
    </row>
    <row r="934" ht="15.75" customHeight="1">
      <c r="G934" s="201"/>
      <c r="H934" s="201"/>
    </row>
    <row r="935" ht="15.75" customHeight="1">
      <c r="G935" s="201"/>
      <c r="H935" s="201"/>
    </row>
    <row r="936" ht="15.75" customHeight="1">
      <c r="G936" s="201"/>
      <c r="H936" s="201"/>
    </row>
    <row r="937" ht="15.75" customHeight="1">
      <c r="G937" s="201"/>
      <c r="H937" s="201"/>
    </row>
    <row r="938" ht="15.75" customHeight="1">
      <c r="G938" s="201"/>
      <c r="H938" s="201"/>
    </row>
    <row r="939" ht="15.75" customHeight="1">
      <c r="G939" s="201"/>
      <c r="H939" s="201"/>
    </row>
    <row r="940" ht="15.75" customHeight="1">
      <c r="G940" s="201"/>
      <c r="H940" s="201"/>
    </row>
    <row r="941" ht="15.75" customHeight="1">
      <c r="G941" s="201"/>
      <c r="H941" s="201"/>
    </row>
    <row r="942" ht="15.75" customHeight="1">
      <c r="G942" s="201"/>
      <c r="H942" s="201"/>
    </row>
    <row r="943" ht="15.75" customHeight="1">
      <c r="G943" s="201"/>
      <c r="H943" s="201"/>
    </row>
    <row r="944" ht="15.75" customHeight="1">
      <c r="G944" s="201"/>
      <c r="H944" s="201"/>
    </row>
    <row r="945" ht="15.75" customHeight="1">
      <c r="G945" s="201"/>
      <c r="H945" s="201"/>
    </row>
    <row r="946" ht="15.75" customHeight="1">
      <c r="G946" s="201"/>
      <c r="H946" s="201"/>
    </row>
    <row r="947" ht="15.75" customHeight="1">
      <c r="G947" s="201"/>
      <c r="H947" s="201"/>
    </row>
    <row r="948" ht="15.75" customHeight="1">
      <c r="G948" s="201"/>
      <c r="H948" s="201"/>
    </row>
    <row r="949" ht="15.75" customHeight="1">
      <c r="G949" s="201"/>
      <c r="H949" s="201"/>
    </row>
    <row r="950" ht="15.75" customHeight="1">
      <c r="G950" s="201"/>
      <c r="H950" s="201"/>
    </row>
    <row r="951" ht="15.75" customHeight="1">
      <c r="G951" s="201"/>
      <c r="H951" s="201"/>
    </row>
    <row r="952" ht="15.75" customHeight="1">
      <c r="G952" s="201"/>
      <c r="H952" s="201"/>
    </row>
    <row r="953" ht="15.75" customHeight="1">
      <c r="G953" s="201"/>
      <c r="H953" s="201"/>
    </row>
    <row r="954" ht="15.75" customHeight="1">
      <c r="G954" s="201"/>
      <c r="H954" s="201"/>
    </row>
    <row r="955" ht="15.75" customHeight="1">
      <c r="G955" s="201"/>
      <c r="H955" s="201"/>
    </row>
    <row r="956" ht="15.75" customHeight="1">
      <c r="G956" s="201"/>
      <c r="H956" s="201"/>
    </row>
    <row r="957" ht="15.75" customHeight="1">
      <c r="G957" s="201"/>
      <c r="H957" s="201"/>
    </row>
    <row r="958" ht="15.75" customHeight="1">
      <c r="G958" s="201"/>
      <c r="H958" s="201"/>
    </row>
    <row r="959" ht="15.75" customHeight="1">
      <c r="G959" s="201"/>
      <c r="H959" s="201"/>
    </row>
    <row r="960" ht="15.75" customHeight="1">
      <c r="G960" s="201"/>
      <c r="H960" s="201"/>
    </row>
    <row r="961" ht="15.75" customHeight="1">
      <c r="G961" s="201"/>
      <c r="H961" s="201"/>
    </row>
    <row r="962" ht="15.75" customHeight="1">
      <c r="G962" s="201"/>
      <c r="H962" s="201"/>
    </row>
    <row r="963" ht="15.75" customHeight="1">
      <c r="G963" s="201"/>
      <c r="H963" s="201"/>
    </row>
    <row r="964" ht="15.75" customHeight="1">
      <c r="G964" s="201"/>
      <c r="H964" s="201"/>
    </row>
    <row r="965" ht="15.75" customHeight="1">
      <c r="G965" s="201"/>
      <c r="H965" s="201"/>
    </row>
    <row r="966" ht="15.75" customHeight="1">
      <c r="G966" s="201"/>
      <c r="H966" s="201"/>
    </row>
    <row r="967" ht="15.75" customHeight="1">
      <c r="G967" s="201"/>
      <c r="H967" s="201"/>
    </row>
    <row r="968" ht="15.75" customHeight="1">
      <c r="G968" s="201"/>
      <c r="H968" s="201"/>
    </row>
    <row r="969" ht="15.75" customHeight="1">
      <c r="G969" s="201"/>
      <c r="H969" s="201"/>
    </row>
    <row r="970" ht="15.75" customHeight="1">
      <c r="G970" s="201"/>
      <c r="H970" s="201"/>
    </row>
    <row r="971" ht="15.75" customHeight="1">
      <c r="G971" s="201"/>
      <c r="H971" s="201"/>
    </row>
    <row r="972" ht="15.75" customHeight="1">
      <c r="G972" s="201"/>
      <c r="H972" s="201"/>
    </row>
    <row r="973" ht="15.75" customHeight="1">
      <c r="G973" s="201"/>
      <c r="H973" s="201"/>
    </row>
    <row r="974" ht="15.75" customHeight="1">
      <c r="G974" s="201"/>
      <c r="H974" s="201"/>
    </row>
    <row r="975" ht="15.75" customHeight="1">
      <c r="G975" s="201"/>
      <c r="H975" s="201"/>
    </row>
    <row r="976" ht="15.75" customHeight="1">
      <c r="G976" s="201"/>
      <c r="H976" s="201"/>
    </row>
    <row r="977" ht="15.75" customHeight="1">
      <c r="G977" s="201"/>
      <c r="H977" s="201"/>
    </row>
    <row r="978" ht="15.75" customHeight="1">
      <c r="G978" s="201"/>
      <c r="H978" s="201"/>
    </row>
    <row r="979" ht="15.75" customHeight="1">
      <c r="G979" s="201"/>
      <c r="H979" s="201"/>
    </row>
    <row r="980" ht="15.75" customHeight="1">
      <c r="G980" s="201"/>
      <c r="H980" s="201"/>
    </row>
    <row r="981" ht="15.75" customHeight="1">
      <c r="G981" s="201"/>
      <c r="H981" s="201"/>
    </row>
    <row r="982" ht="15.75" customHeight="1">
      <c r="G982" s="201"/>
      <c r="H982" s="201"/>
    </row>
    <row r="983" ht="15.75" customHeight="1">
      <c r="G983" s="201"/>
      <c r="H983" s="201"/>
    </row>
    <row r="984" ht="15.75" customHeight="1">
      <c r="G984" s="201"/>
      <c r="H984" s="201"/>
    </row>
    <row r="985" ht="15.75" customHeight="1">
      <c r="G985" s="201"/>
      <c r="H985" s="201"/>
    </row>
    <row r="986" ht="15.75" customHeight="1">
      <c r="G986" s="201"/>
      <c r="H986" s="201"/>
    </row>
    <row r="987" ht="15.75" customHeight="1">
      <c r="G987" s="201"/>
      <c r="H987" s="201"/>
    </row>
    <row r="988" ht="15.75" customHeight="1">
      <c r="G988" s="201"/>
      <c r="H988" s="201"/>
    </row>
    <row r="989" ht="15.75" customHeight="1">
      <c r="G989" s="201"/>
      <c r="H989" s="201"/>
    </row>
    <row r="990" ht="15.75" customHeight="1">
      <c r="G990" s="201"/>
      <c r="H990" s="201"/>
    </row>
    <row r="991" ht="15.75" customHeight="1">
      <c r="G991" s="201"/>
      <c r="H991" s="201"/>
    </row>
    <row r="992" ht="15.75" customHeight="1">
      <c r="G992" s="201"/>
      <c r="H992" s="201"/>
    </row>
    <row r="993" ht="15.75" customHeight="1">
      <c r="G993" s="201"/>
      <c r="H993" s="201"/>
    </row>
    <row r="994" ht="15.75" customHeight="1">
      <c r="G994" s="201"/>
      <c r="H994" s="201"/>
    </row>
    <row r="995" ht="15.75" customHeight="1">
      <c r="G995" s="201"/>
      <c r="H995" s="201"/>
    </row>
    <row r="996" ht="15.75" customHeight="1">
      <c r="G996" s="201"/>
      <c r="H996" s="201"/>
    </row>
    <row r="997" ht="15.75" customHeight="1">
      <c r="G997" s="201"/>
      <c r="H997" s="201"/>
    </row>
    <row r="998" ht="15.75" customHeight="1">
      <c r="G998" s="201"/>
      <c r="H998" s="201"/>
    </row>
    <row r="999" ht="15.75" customHeight="1">
      <c r="G999" s="201"/>
      <c r="H999" s="201"/>
    </row>
    <row r="1000" ht="15.75" customHeight="1">
      <c r="G1000" s="201"/>
      <c r="H1000" s="201"/>
    </row>
    <row r="1001" ht="15.75" customHeight="1">
      <c r="G1001" s="201"/>
      <c r="H1001" s="201"/>
    </row>
    <row r="1002" ht="15.75" customHeight="1">
      <c r="G1002" s="201"/>
      <c r="H1002" s="201"/>
    </row>
  </sheetData>
  <mergeCells count="1">
    <mergeCell ref="A1:F1"/>
  </mergeCells>
  <conditionalFormatting sqref="F65:F79">
    <cfRule type="cellIs" dxfId="0" priority="1" operator="lessThan">
      <formula>3</formula>
    </cfRule>
  </conditionalFormatting>
  <conditionalFormatting sqref="F65:F79">
    <cfRule type="cellIs" dxfId="1" priority="2" operator="equal">
      <formula>3</formula>
    </cfRule>
  </conditionalFormatting>
  <conditionalFormatting sqref="F65:F79">
    <cfRule type="cellIs" dxfId="2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12.43"/>
    <col customWidth="1" min="3" max="3" width="48.86"/>
    <col customWidth="1" min="4" max="4" width="10.57"/>
    <col customWidth="1" min="5" max="5" width="6.57"/>
    <col customWidth="1" min="6" max="12" width="5.29"/>
    <col customWidth="1" min="13" max="13" width="7.71"/>
    <col customWidth="1" min="14" max="14" width="6.57"/>
    <col customWidth="1" min="15" max="15" width="5.29"/>
    <col customWidth="1" min="16" max="16" width="18.14"/>
    <col customWidth="1" min="17" max="17" width="9.71"/>
    <col customWidth="1" min="18" max="18" width="26.43"/>
    <col customWidth="1" min="19" max="37" width="9.0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6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>
      <c r="A2" s="35"/>
      <c r="B2" s="282" t="s">
        <v>23</v>
      </c>
      <c r="C2" s="283" t="s">
        <v>685</v>
      </c>
      <c r="D2" s="129" t="s">
        <v>334</v>
      </c>
      <c r="E2" s="284" t="s">
        <v>23</v>
      </c>
      <c r="F2" s="284" t="s">
        <v>15</v>
      </c>
      <c r="G2" s="284" t="s">
        <v>46</v>
      </c>
      <c r="H2" s="284" t="s">
        <v>16</v>
      </c>
      <c r="I2" s="284" t="s">
        <v>252</v>
      </c>
      <c r="J2" s="284" t="s">
        <v>41</v>
      </c>
      <c r="K2" s="284" t="s">
        <v>48</v>
      </c>
      <c r="L2" s="284" t="s">
        <v>58</v>
      </c>
      <c r="M2" s="286" t="s">
        <v>439</v>
      </c>
      <c r="N2" s="284" t="s">
        <v>687</v>
      </c>
      <c r="O2" s="284" t="s">
        <v>56</v>
      </c>
      <c r="P2" s="129" t="s">
        <v>210</v>
      </c>
      <c r="Q2" s="129" t="s">
        <v>688</v>
      </c>
      <c r="R2" s="287" t="s">
        <v>215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ht="13.5" customHeight="1">
      <c r="A3" s="35"/>
      <c r="B3" s="107">
        <v>1.0</v>
      </c>
      <c r="C3" s="40" t="s">
        <v>26</v>
      </c>
      <c r="D3" s="288">
        <f t="shared" ref="D3:D17" si="1">SUM(E3:O3)</f>
        <v>1</v>
      </c>
      <c r="E3" s="243">
        <f>COUNTIF(LCB!$C$4:$C$40,C3)</f>
        <v>1</v>
      </c>
      <c r="F3" s="243">
        <f>COUNTIF(LM!$C$4:$C$144,C3)</f>
        <v>0</v>
      </c>
      <c r="G3" s="243">
        <f>COUNTIF(LO!$C$4:$C$227,C3)</f>
        <v>0</v>
      </c>
      <c r="H3" s="243">
        <f>COUNTIF(LE!$C$4:$C$214,C3)</f>
        <v>0</v>
      </c>
      <c r="I3" s="289">
        <f>COUNTIF(LN!$C$4:$C$53,C3)</f>
        <v>0</v>
      </c>
      <c r="J3" s="289">
        <f>COUNTIF(LCE!$C$3:$C$43,C3)</f>
        <v>0</v>
      </c>
      <c r="K3" s="289">
        <f>COUNTIF(LI!$C$4:$C$60,C3)</f>
        <v>0</v>
      </c>
      <c r="L3" s="289">
        <f>COUNTIF(LAP!$C$5:$C$45,C3)</f>
        <v>0</v>
      </c>
      <c r="M3" s="289">
        <f>COUNTIF(LGDM!$C$4:$C$22,C3)</f>
        <v>0</v>
      </c>
      <c r="N3" s="289">
        <f>COUNTIF(LAM!$C$5:$C$21,C3)</f>
        <v>0</v>
      </c>
      <c r="O3" s="243">
        <f>COUNTIF(DEP!$C$3:$C$61,C3)</f>
        <v>0</v>
      </c>
      <c r="P3" s="291">
        <f>SUMIF(LCB!$C$4:$C$45,C3,LCB!$F$4:$F$45)+SUMIF(LM!$C$4:$C$140,C3,LM!$F$4:$F$140)+SUMIF(LO!$C$4:$C$230,C3,LO!$F$4:$F$230)+SUMIF(LE!$C$4:$C$200,C3,LE!$F$4:$F$200)+SUMIF(LN!$C$4:$C$48,C3,LN!$F$4:$F$48)+SUMIF(LCE!$C$4:$C$40,C3,LCE!$F$4:$F$40)+SUMIF(LI!$C$4:$C$55,C3,LI!$F$4:$F$55)+SUMIF(LAP!$C$4:$C$45,C3,LAP!$F$4:$F$45)+SUMIF(LGDM!$C$4:$C$22,C3,LGDM!$F$4:$F$22)+SUMIF(LAM!$C$4:$C$18,C3,LAM!$F$4:$F$18)+SUMIF(DEP!$C$4:$C$55,C3,DEP!$F$4:$F$55)</f>
        <v>0</v>
      </c>
      <c r="Q3" s="243">
        <f>SUMIF(LCB!$C$4:$C$45,C3,LCB!$E$4:$E$45)+SUMIF(LM!$C$4:$C$140,C3,LM!$E$4:$E$140)+SUMIF(LO!$C$4:$C$230,C3,LO!$E$4:$E$230)+SUMIF(LE!$C$4:$C$200,C3,LE!$E$4:$E$200)+SUMIF(LN!$C$4:$C$48,C3,LN!$E$4:$E$48)+SUMIF(LCE!$C$4:$C$40,C3,LCE!$E$4:$E$40)+SUMIF(LI!$C$4:$C$55,C3,LI!$E$4:$E$55)+SUMIF(LAP!$C$4:$C$45,C3,LAP!$E$4:$E$45)+SUMIF(LGDM!$C$4:$C$15,C3,LGDM!$E$4:$E$15)+SUMIF(LAM!$C$5:$C$18,C3,LAM!$E$5:$E$18)+SUMIF(DEP!$C$4:$C$55,C3,DEP!$E$4:$E$55)</f>
        <v>6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ht="13.5" customHeight="1">
      <c r="A4" s="35"/>
      <c r="B4" s="107">
        <v>2.0</v>
      </c>
      <c r="C4" s="38" t="s">
        <v>94</v>
      </c>
      <c r="D4" s="288">
        <f t="shared" si="1"/>
        <v>3</v>
      </c>
      <c r="E4" s="243">
        <f>COUNTIF(LCB!$C$4:$C$40,C4)</f>
        <v>0</v>
      </c>
      <c r="F4" s="243">
        <f>COUNTIF(LM!$C$4:$C$144,C4)</f>
        <v>3</v>
      </c>
      <c r="G4" s="243">
        <f>COUNTIF(LO!$C$4:$C$227,C4)</f>
        <v>0</v>
      </c>
      <c r="H4" s="243">
        <f>COUNTIF(LE!$C$4:$C$214,C4)</f>
        <v>0</v>
      </c>
      <c r="I4" s="289">
        <f>COUNTIF(LN!$C$4:$C$53,C4)</f>
        <v>0</v>
      </c>
      <c r="J4" s="289">
        <f>COUNTIF(LCE!$C$3:$C$43,C4)</f>
        <v>0</v>
      </c>
      <c r="K4" s="289">
        <f>COUNTIF(LI!$C$4:$C$60,C4)</f>
        <v>0</v>
      </c>
      <c r="L4" s="289">
        <f>COUNTIF(LAP!$C$5:$C$45,C4)</f>
        <v>0</v>
      </c>
      <c r="M4" s="289">
        <f>COUNTIF(LGDM!$C$4:$C$22,C4)</f>
        <v>0</v>
      </c>
      <c r="N4" s="289">
        <f>COUNTIF(LAM!$C$5:$C$21,C4)</f>
        <v>0</v>
      </c>
      <c r="O4" s="243">
        <f>COUNTIF(DEP!$C$3:$C$61,C4)</f>
        <v>0</v>
      </c>
      <c r="P4" s="291">
        <f>SUMIF(LCB!$C$4:$C$45,C4,LCB!$F$4:$F$45)+SUMIF(LM!$C$4:$C$140,C4,LM!$F$4:$F$140)+SUMIF(LO!$C$4:$C$230,C4,LO!$F$4:$F$230)+SUMIF(LE!$C$4:$C$200,C4,LE!$F$4:$F$200)+SUMIF(LN!$C$4:$C$48,C4,LN!$F$4:$F$48)+SUMIF(LCE!$C$4:$C$40,C4,LCE!$F$4:$F$40)+SUMIF(LI!$C$4:$C$55,C4,LI!$F$4:$F$55)+SUMIF(LAP!$C$4:$C$45,C4,LAP!$F$4:$F$45)+SUMIF(LGDM!$C$4:$C$22,C4,LGDM!$F$4:$F$22)+SUMIF(LAM!$C$4:$C$18,C4,LAM!$F$4:$F$18)+SUMIF(DEP!$C$4:$C$55,C4,DEP!$F$4:$F$55)</f>
        <v>126</v>
      </c>
      <c r="Q4" s="243">
        <f>SUMIF(LCB!$C$4:$C$45,C4,LCB!$E$4:$E$45)+SUMIF(LM!$C$4:$C$140,C4,LM!$E$4:$E$140)+SUMIF(LO!$C$4:$C$230,C4,LO!$E$4:$E$230)+SUMIF(LE!$C$4:$C$200,C4,LE!$E$4:$E$200)+SUMIF(LN!$C$4:$C$48,C4,LN!$E$4:$E$48)+SUMIF(LCE!$C$4:$C$40,C4,LCE!$E$4:$E$40)+SUMIF(LI!$C$4:$C$55,C4,LI!$E$4:$E$55)+SUMIF(LAP!$C$4:$C$45,C4,LAP!$E$4:$E$45)+SUMIF(LGDM!$C$4:$C$15,C4,LGDM!$E$4:$E$15)+SUMIF(LAM!$C$5:$C$18,C4,LAM!$E$5:$E$18)+SUMIF(DEP!$C$4:$C$55,C4,DEP!$E$4:$E$55)</f>
        <v>18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ht="13.5" customHeight="1">
      <c r="A5" s="35"/>
      <c r="B5" s="107">
        <v>3.0</v>
      </c>
      <c r="C5" s="38" t="s">
        <v>21</v>
      </c>
      <c r="D5" s="288">
        <f t="shared" si="1"/>
        <v>4</v>
      </c>
      <c r="E5" s="243">
        <f>COUNTIF(LCB!$C$4:$C$40,C5)</f>
        <v>1</v>
      </c>
      <c r="F5" s="243">
        <f>COUNTIF(LM!$C$4:$C$144,C5)</f>
        <v>0</v>
      </c>
      <c r="G5" s="243">
        <f>COUNTIF(LO!$C$4:$C$227,C5)</f>
        <v>0</v>
      </c>
      <c r="H5" s="243">
        <f>COUNTIF(LE!$C$4:$C$214,C5)</f>
        <v>3</v>
      </c>
      <c r="I5" s="289">
        <f>COUNTIF(LN!$C$4:$C$53,C5)</f>
        <v>0</v>
      </c>
      <c r="J5" s="289">
        <f>COUNTIF(LCE!$C$3:$C$43,C5)</f>
        <v>0</v>
      </c>
      <c r="K5" s="289">
        <f>COUNTIF(LI!$C$4:$C$60,C5)</f>
        <v>0</v>
      </c>
      <c r="L5" s="289">
        <f>COUNTIF(LAP!$C$5:$C$45,C5)</f>
        <v>0</v>
      </c>
      <c r="M5" s="289">
        <f>COUNTIF(LGDM!$C$4:$C$22,C5)</f>
        <v>0</v>
      </c>
      <c r="N5" s="289">
        <f>COUNTIF(LAM!$C$5:$C$21,C5)</f>
        <v>0</v>
      </c>
      <c r="O5" s="243">
        <f>COUNTIF(DEP!$C$3:$C$61,C5)</f>
        <v>0</v>
      </c>
      <c r="P5" s="291">
        <f>SUMIF(LCB!$C$4:$C$45,C5,LCB!$F$4:$F$45)+SUMIF(LM!$C$4:$C$140,C5,LM!$F$4:$F$140)+SUMIF(LO!$C$4:$C$230,C5,LO!$F$4:$F$230)+SUMIF(LE!$C$4:$C$200,C5,LE!$F$4:$F$200)+SUMIF(LN!$C$4:$C$48,C5,LN!$F$4:$F$48)+SUMIF(LCE!$C$4:$C$40,C5,LCE!$F$4:$F$40)+SUMIF(LI!$C$4:$C$55,C5,LI!$F$4:$F$55)+SUMIF(LAP!$C$4:$C$45,C5,LAP!$F$4:$F$45)+SUMIF(LGDM!$C$4:$C$22,C5,LGDM!$F$4:$F$22)+SUMIF(LAM!$C$4:$C$18,C5,LAM!$F$4:$F$18)+SUMIF(DEP!$C$4:$C$55,C5,DEP!$F$4:$F$55)</f>
        <v>0</v>
      </c>
      <c r="Q5" s="243">
        <f>SUMIF(LCB!$C$4:$C$45,C5,LCB!$E$4:$E$45)+SUMIF(LM!$C$4:$C$140,C5,LM!$E$4:$E$140)+SUMIF(LO!$C$4:$C$230,C5,LO!$E$4:$E$230)+SUMIF(LE!$C$4:$C$200,C5,LE!$E$4:$E$200)+SUMIF(LN!$C$4:$C$48,C5,LN!$E$4:$E$48)+SUMIF(LCE!$C$4:$C$40,C5,LCE!$E$4:$E$40)+SUMIF(LI!$C$4:$C$55,C5,LI!$E$4:$E$55)+SUMIF(LAP!$C$4:$C$45,C5,LAP!$E$4:$E$45)+SUMIF(LGDM!$C$4:$C$15,C5,LGDM!$E$4:$E$15)+SUMIF(LAM!$C$5:$C$18,C5,LAM!$E$5:$E$18)+SUMIF(DEP!$C$4:$C$55,C5,DEP!$E$4:$E$55)</f>
        <v>23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ht="13.5" customHeight="1">
      <c r="A6" s="35"/>
      <c r="B6" s="107">
        <v>4.0</v>
      </c>
      <c r="C6" s="40" t="s">
        <v>101</v>
      </c>
      <c r="D6" s="288">
        <f t="shared" si="1"/>
        <v>4</v>
      </c>
      <c r="E6" s="243">
        <f>COUNTIF(LCB!$C$4:$C$40,C6)</f>
        <v>2</v>
      </c>
      <c r="F6" s="243">
        <f>COUNTIF(LM!$C$4:$C$144,C6)</f>
        <v>0</v>
      </c>
      <c r="G6" s="243">
        <f>COUNTIF(LO!$C$4:$C$227,C6)</f>
        <v>2</v>
      </c>
      <c r="H6" s="243">
        <f>COUNTIF(LE!$C$4:$C$214,C6)</f>
        <v>0</v>
      </c>
      <c r="I6" s="289">
        <f>COUNTIF(LN!$C$4:$C$53,C6)</f>
        <v>0</v>
      </c>
      <c r="J6" s="289">
        <f>COUNTIF(LCE!$C$3:$C$43,C6)</f>
        <v>0</v>
      </c>
      <c r="K6" s="289">
        <f>COUNTIF(LI!$C$4:$C$60,C6)</f>
        <v>0</v>
      </c>
      <c r="L6" s="289">
        <f>COUNTIF(LAP!$C$5:$C$45,C6)</f>
        <v>0</v>
      </c>
      <c r="M6" s="289">
        <f>COUNTIF(LGDM!$C$4:$C$22,C6)</f>
        <v>0</v>
      </c>
      <c r="N6" s="289">
        <f>COUNTIF(LAM!$C$5:$C$21,C6)</f>
        <v>0</v>
      </c>
      <c r="O6" s="243">
        <f>COUNTIF(DEP!$C$3:$C$61,C6)</f>
        <v>0</v>
      </c>
      <c r="P6" s="291">
        <f>SUMIF(LCB!$C$4:$C$45,C6,LCB!$F$4:$F$45)+SUMIF(LM!$C$4:$C$140,C6,LM!$F$4:$F$140)+SUMIF(LO!$C$4:$C$230,C6,LO!$F$4:$F$230)+SUMIF(LE!$C$4:$C$200,C6,LE!$F$4:$F$200)+SUMIF(LN!$C$4:$C$48,C6,LN!$F$4:$F$48)+SUMIF(LCE!$C$4:$C$40,C6,LCE!$F$4:$F$40)+SUMIF(LI!$C$4:$C$55,C6,LI!$F$4:$F$55)+SUMIF(LAP!$C$4:$C$45,C6,LAP!$F$4:$F$45)+SUMIF(LGDM!$C$4:$C$22,C6,LGDM!$F$4:$F$22)+SUMIF(LAM!$C$4:$C$18,C6,LAM!$F$4:$F$18)+SUMIF(DEP!$C$4:$C$55,C6,DEP!$F$4:$F$55)</f>
        <v>0</v>
      </c>
      <c r="Q6" s="243">
        <f>SUMIF(LCB!$C$4:$C$45,C6,LCB!$E$4:$E$45)+SUMIF(LM!$C$4:$C$140,C6,LM!$E$4:$E$140)+SUMIF(LO!$C$4:$C$230,C6,LO!$E$4:$E$230)+SUMIF(LE!$C$4:$C$200,C6,LE!$E$4:$E$200)+SUMIF(LN!$C$4:$C$48,C6,LN!$E$4:$E$48)+SUMIF(LCE!$C$4:$C$40,C6,LCE!$E$4:$E$40)+SUMIF(LI!$C$4:$C$55,C6,LI!$E$4:$E$55)+SUMIF(LAP!$C$4:$C$45,C6,LAP!$E$4:$E$45)+SUMIF(LGDM!$C$4:$C$15,C6,LGDM!$E$4:$E$15)+SUMIF(LAM!$C$5:$C$18,C6,LAM!$E$5:$E$18)+SUMIF(DEP!$C$4:$C$55,C6,DEP!$E$4:$E$55)</f>
        <v>22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ht="13.5" customHeight="1">
      <c r="A7" s="35"/>
      <c r="B7" s="107">
        <v>5.0</v>
      </c>
      <c r="C7" s="40" t="s">
        <v>59</v>
      </c>
      <c r="D7" s="288">
        <f t="shared" si="1"/>
        <v>4</v>
      </c>
      <c r="E7" s="243">
        <f>COUNTIF(LCB!$C$4:$C$40,C7)</f>
        <v>0</v>
      </c>
      <c r="F7" s="243">
        <f>COUNTIF(LM!$C$4:$C$144,C7)</f>
        <v>0</v>
      </c>
      <c r="G7" s="243">
        <f>COUNTIF(LO!$C$4:$C$227,C7)</f>
        <v>3</v>
      </c>
      <c r="H7" s="243">
        <f>COUNTIF(LE!$C$4:$C$214,C7)</f>
        <v>1</v>
      </c>
      <c r="I7" s="289">
        <f>COUNTIF(LN!$C$4:$C$53,C7)</f>
        <v>0</v>
      </c>
      <c r="J7" s="289">
        <f>COUNTIF(LCE!$C$3:$C$43,C7)</f>
        <v>0</v>
      </c>
      <c r="K7" s="289">
        <f>COUNTIF(LI!$C$4:$C$60,C7)</f>
        <v>0</v>
      </c>
      <c r="L7" s="289">
        <f>COUNTIF(LAP!$C$5:$C$45,C7)</f>
        <v>0</v>
      </c>
      <c r="M7" s="289">
        <f>COUNTIF(LGDM!$C$4:$C$22,C7)</f>
        <v>0</v>
      </c>
      <c r="N7" s="289">
        <f>COUNTIF(LAM!$C$5:$C$21,C7)</f>
        <v>0</v>
      </c>
      <c r="O7" s="243">
        <f>COUNTIF(DEP!$C$3:$C$61,C7)</f>
        <v>0</v>
      </c>
      <c r="P7" s="291">
        <f>SUMIF(LCB!$C$4:$C$45,C7,LCB!$F$4:$F$45)+SUMIF(LM!$C$4:$C$140,C7,LM!$F$4:$F$140)+SUMIF(LO!$C$4:$C$230,C7,LO!$F$4:$F$230)+SUMIF(LE!$C$4:$C$200,C7,LE!$F$4:$F$200)+SUMIF(LN!$C$4:$C$48,C7,LN!$F$4:$F$48)+SUMIF(LCE!$C$4:$C$40,C7,LCE!$F$4:$F$40)+SUMIF(LI!$C$4:$C$55,C7,LI!$F$4:$F$55)+SUMIF(LAP!$C$4:$C$45,C7,LAP!$F$4:$F$45)+SUMIF(LGDM!$C$4:$C$22,C7,LGDM!$F$4:$F$22)+SUMIF(LAM!$C$4:$C$18,C7,LAM!$F$4:$F$18)+SUMIF(DEP!$C$4:$C$55,C7,DEP!$F$4:$F$55)</f>
        <v>0</v>
      </c>
      <c r="Q7" s="243">
        <f>SUMIF(LCB!$C$4:$C$45,C7,LCB!$E$4:$E$45)+SUMIF(LM!$C$4:$C$140,C7,LM!$E$4:$E$140)+SUMIF(LO!$C$4:$C$230,C7,LO!$E$4:$E$230)+SUMIF(LE!$C$4:$C$200,C7,LE!$E$4:$E$200)+SUMIF(LN!$C$4:$C$48,C7,LN!$E$4:$E$48)+SUMIF(LCE!$C$4:$C$40,C7,LCE!$E$4:$E$40)+SUMIF(LI!$C$4:$C$55,C7,LI!$E$4:$E$55)+SUMIF(LAP!$C$4:$C$45,C7,LAP!$E$4:$E$45)+SUMIF(LGDM!$C$4:$C$15,C7,LGDM!$E$4:$E$15)+SUMIF(LAM!$C$5:$C$18,C7,LAM!$E$5:$E$18)+SUMIF(DEP!$C$4:$C$55,C7,DEP!$E$4:$E$55)</f>
        <v>21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ht="13.5" customHeight="1">
      <c r="A8" s="35"/>
      <c r="B8" s="107">
        <v>6.0</v>
      </c>
      <c r="C8" s="38" t="s">
        <v>78</v>
      </c>
      <c r="D8" s="288">
        <f t="shared" si="1"/>
        <v>4</v>
      </c>
      <c r="E8" s="243">
        <f>COUNTIF(LCB!$C$4:$C$40,C8)</f>
        <v>0</v>
      </c>
      <c r="F8" s="243">
        <f>COUNTIF(LM!$C$4:$C$144,C8)</f>
        <v>0</v>
      </c>
      <c r="G8" s="243">
        <f>COUNTIF(LO!$C$4:$C$227,C8)</f>
        <v>1</v>
      </c>
      <c r="H8" s="243">
        <f>COUNTIF(LE!$C$4:$C$214,C8)</f>
        <v>3</v>
      </c>
      <c r="I8" s="289">
        <f>COUNTIF(LN!$C$4:$C$53,C8)</f>
        <v>0</v>
      </c>
      <c r="J8" s="289">
        <f>COUNTIF(LCE!$C$3:$C$43,C8)</f>
        <v>0</v>
      </c>
      <c r="K8" s="289">
        <f>COUNTIF(LI!$C$4:$C$60,C8)</f>
        <v>0</v>
      </c>
      <c r="L8" s="289">
        <f>COUNTIF(LAP!$C$5:$C$45,C8)</f>
        <v>0</v>
      </c>
      <c r="M8" s="289">
        <f>COUNTIF(LGDM!$C$4:$C$22,C8)</f>
        <v>0</v>
      </c>
      <c r="N8" s="289">
        <f>COUNTIF(LAM!$C$5:$C$21,C8)</f>
        <v>0</v>
      </c>
      <c r="O8" s="243">
        <f>COUNTIF(DEP!$C$3:$C$61,C8)</f>
        <v>0</v>
      </c>
      <c r="P8" s="291">
        <f>SUMIF(LCB!$C$4:$C$45,C8,LCB!$F$4:$F$45)+SUMIF(LM!$C$4:$C$140,C8,LM!$F$4:$F$140)+SUMIF(LO!$C$4:$C$230,C8,LO!$F$4:$F$230)+SUMIF(LE!$C$4:$C$200,C8,LE!$F$4:$F$200)+SUMIF(LN!$C$4:$C$48,C8,LN!$F$4:$F$48)+SUMIF(LCE!$C$4:$C$40,C8,LCE!$F$4:$F$40)+SUMIF(LI!$C$4:$C$55,C8,LI!$F$4:$F$55)+SUMIF(LAP!$C$4:$C$45,C8,LAP!$F$4:$F$45)+SUMIF(LGDM!$C$4:$C$22,C8,LGDM!$F$4:$F$22)+SUMIF(LAM!$C$4:$C$18,C8,LAM!$F$4:$F$18)+SUMIF(DEP!$C$4:$C$55,C8,DEP!$F$4:$F$55)</f>
        <v>0</v>
      </c>
      <c r="Q8" s="243">
        <f>SUMIF(LCB!$C$4:$C$45,C8,LCB!$E$4:$E$45)+SUMIF(LM!$C$4:$C$140,C8,LM!$E$4:$E$140)+SUMIF(LO!$C$4:$C$230,C8,LO!$E$4:$E$230)+SUMIF(LE!$C$4:$C$200,C8,LE!$E$4:$E$200)+SUMIF(LN!$C$4:$C$48,C8,LN!$E$4:$E$48)+SUMIF(LCE!$C$4:$C$40,C8,LCE!$E$4:$E$40)+SUMIF(LI!$C$4:$C$55,C8,LI!$E$4:$E$55)+SUMIF(LAP!$C$4:$C$45,C8,LAP!$E$4:$E$45)+SUMIF(LGDM!$C$4:$C$15,C8,LGDM!$E$4:$E$15)+SUMIF(LAM!$C$5:$C$18,C8,LAM!$E$5:$E$18)+SUMIF(DEP!$C$4:$C$55,C8,DEP!$E$4:$E$55)</f>
        <v>23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ht="13.5" customHeight="1">
      <c r="A9" s="35"/>
      <c r="B9" s="107">
        <v>7.0</v>
      </c>
      <c r="C9" s="38" t="s">
        <v>127</v>
      </c>
      <c r="D9" s="288">
        <f t="shared" si="1"/>
        <v>4</v>
      </c>
      <c r="E9" s="243">
        <f>COUNTIF(LCB!$C$4:$C$40,C9)</f>
        <v>0</v>
      </c>
      <c r="F9" s="243">
        <f>COUNTIF(LM!$C$4:$C$144,C9)</f>
        <v>0</v>
      </c>
      <c r="G9" s="243">
        <f>COUNTIF(LO!$C$4:$C$227,C9)</f>
        <v>1</v>
      </c>
      <c r="H9" s="243">
        <f>COUNTIF(LE!$C$4:$C$214,C9)</f>
        <v>2</v>
      </c>
      <c r="I9" s="289">
        <f>COUNTIF(LN!$C$4:$C$53,C9)</f>
        <v>0</v>
      </c>
      <c r="J9" s="289">
        <f>COUNTIF(LCE!$C$3:$C$43,C9)</f>
        <v>0</v>
      </c>
      <c r="K9" s="289">
        <f>COUNTIF(LI!$C$4:$C$60,C9)</f>
        <v>0</v>
      </c>
      <c r="L9" s="289">
        <f>COUNTIF(LAP!$C$5:$C$45,C9)</f>
        <v>0</v>
      </c>
      <c r="M9" s="289">
        <f>COUNTIF(LGDM!$C$4:$C$22,C9)</f>
        <v>0</v>
      </c>
      <c r="N9" s="289">
        <f>COUNTIF(LAM!$C$5:$C$21,C9)</f>
        <v>0</v>
      </c>
      <c r="O9" s="243">
        <f>COUNTIF(DEP!$C$3:$C$61,C9)</f>
        <v>1</v>
      </c>
      <c r="P9" s="291">
        <f>SUMIF(LCB!$C$4:$C$45,C9,LCB!$F$4:$F$45)+SUMIF(LM!$C$4:$C$140,C9,LM!$F$4:$F$140)+SUMIF(LO!$C$4:$C$230,C9,LO!$F$4:$F$230)+SUMIF(LE!$C$4:$C$200,C9,LE!$F$4:$F$200)+SUMIF(LN!$C$4:$C$48,C9,LN!$F$4:$F$48)+SUMIF(LCE!$C$4:$C$40,C9,LCE!$F$4:$F$40)+SUMIF(LI!$C$4:$C$55,C9,LI!$F$4:$F$55)+SUMIF(LAP!$C$4:$C$45,C9,LAP!$F$4:$F$45)+SUMIF(LGDM!$C$4:$C$22,C9,LGDM!$F$4:$F$22)+SUMIF(LAM!$C$4:$C$18,C9,LAM!$F$4:$F$18)+SUMIF(DEP!$C$4:$C$55,C9,DEP!$F$4:$F$55)</f>
        <v>0</v>
      </c>
      <c r="Q9" s="243">
        <f>SUMIF(LCB!$C$4:$C$45,C9,LCB!$E$4:$E$45)+SUMIF(LM!$C$4:$C$140,C9,LM!$E$4:$E$140)+SUMIF(LO!$C$4:$C$230,C9,LO!$E$4:$E$230)+SUMIF(LE!$C$4:$C$200,C9,LE!$E$4:$E$200)+SUMIF(LN!$C$4:$C$48,C9,LN!$E$4:$E$48)+SUMIF(LCE!$C$4:$C$40,C9,LCE!$E$4:$E$40)+SUMIF(LI!$C$4:$C$55,C9,LI!$E$4:$E$55)+SUMIF(LAP!$C$4:$C$45,C9,LAP!$E$4:$E$45)+SUMIF(LGDM!$C$4:$C$15,C9,LGDM!$E$4:$E$15)+SUMIF(LAM!$C$5:$C$18,C9,LAM!$E$5:$E$18)+SUMIF(DEP!$C$4:$C$55,C9,DEP!$E$4:$E$55)</f>
        <v>21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ht="13.5" customHeight="1">
      <c r="A10" s="35"/>
      <c r="B10" s="107">
        <v>8.0</v>
      </c>
      <c r="C10" s="1" t="s">
        <v>68</v>
      </c>
      <c r="D10" s="288">
        <f t="shared" si="1"/>
        <v>2</v>
      </c>
      <c r="E10" s="243">
        <f>COUNTIF(LCB!$C$4:$C$40,C10)</f>
        <v>2</v>
      </c>
      <c r="F10" s="243">
        <f>COUNTIF(LM!$C$4:$C$144,C10)</f>
        <v>0</v>
      </c>
      <c r="G10" s="243">
        <f>COUNTIF(LO!$C$4:$C$227,C10)</f>
        <v>0</v>
      </c>
      <c r="H10" s="243">
        <f>COUNTIF(LE!$C$4:$C$214,C10)</f>
        <v>0</v>
      </c>
      <c r="I10" s="289">
        <f>COUNTIF(LN!$C$4:$C$53,C10)</f>
        <v>0</v>
      </c>
      <c r="J10" s="289">
        <f>COUNTIF(LCE!$C$3:$C$43,C10)</f>
        <v>0</v>
      </c>
      <c r="K10" s="289">
        <f>COUNTIF(LI!$C$4:$C$60,C10)</f>
        <v>0</v>
      </c>
      <c r="L10" s="289">
        <f>COUNTIF(LAP!$C$5:$C$45,C10)</f>
        <v>0</v>
      </c>
      <c r="M10" s="289">
        <f>COUNTIF(LGDM!$C$4:$C$22,C10)</f>
        <v>0</v>
      </c>
      <c r="N10" s="289">
        <f>COUNTIF(LAM!$C$5:$C$21,C10)</f>
        <v>0</v>
      </c>
      <c r="O10" s="243">
        <f>COUNTIF(DEP!$C$3:$C$61,C10)</f>
        <v>0</v>
      </c>
      <c r="P10" s="291">
        <f>SUMIF(LCB!$C$4:$C$45,C10,LCB!$F$4:$F$45)+SUMIF(LM!$C$4:$C$140,C10,LM!$F$4:$F$140)+SUMIF(LO!$C$4:$C$230,C10,LO!$F$4:$F$230)+SUMIF(LE!$C$4:$C$200,C10,LE!$F$4:$F$200)+SUMIF(LN!$C$4:$C$48,C10,LN!$F$4:$F$48)+SUMIF(LCE!$C$4:$C$40,C10,LCE!$F$4:$F$40)+SUMIF(LI!$C$4:$C$55,C10,LI!$F$4:$F$55)+SUMIF(LAP!$C$4:$C$45,C10,LAP!$F$4:$F$45)+SUMIF(LGDM!$C$4:$C$22,C10,LGDM!$F$4:$F$22)+SUMIF(LAM!$C$4:$C$18,C10,LAM!$F$4:$F$18)+SUMIF(DEP!$C$4:$C$55,C10,DEP!$F$4:$F$55)</f>
        <v>0</v>
      </c>
      <c r="Q10" s="243">
        <f>SUMIF(LCB!$C$4:$C$45,C10,LCB!$E$4:$E$45)+SUMIF(LM!$C$4:$C$140,C10,LM!$E$4:$E$140)+SUMIF(LO!$C$4:$C$230,C10,LO!$E$4:$E$230)+SUMIF(LE!$C$4:$C$200,C10,LE!$E$4:$E$200)+SUMIF(LN!$C$4:$C$48,C10,LN!$E$4:$E$48)+SUMIF(LCE!$C$4:$C$40,C10,LCE!$E$4:$E$40)+SUMIF(LI!$C$4:$C$55,C10,LI!$E$4:$E$55)+SUMIF(LAP!$C$4:$C$45,C10,LAP!$E$4:$E$45)+SUMIF(LGDM!$C$4:$C$15,C10,LGDM!$E$4:$E$15)+SUMIF(LAM!$C$5:$C$18,C10,LAM!$E$5:$E$18)+SUMIF(DEP!$C$4:$C$55,C10,DEP!$E$4:$E$55)</f>
        <v>11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ht="13.5" customHeight="1">
      <c r="A11" s="35"/>
      <c r="B11" s="107">
        <v>9.0</v>
      </c>
      <c r="C11" s="1" t="s">
        <v>0</v>
      </c>
      <c r="D11" s="288">
        <f t="shared" si="1"/>
        <v>3</v>
      </c>
      <c r="E11" s="243">
        <f>COUNTIF(LCB!$C$4:$C$40,C11)</f>
        <v>1</v>
      </c>
      <c r="F11" s="243">
        <f>COUNTIF(LM!$C$4:$C$144,C11)</f>
        <v>2</v>
      </c>
      <c r="G11" s="243">
        <f>COUNTIF(LO!$C$4:$C$227,C11)</f>
        <v>0</v>
      </c>
      <c r="H11" s="243">
        <f>COUNTIF(LE!$C$4:$C$214,C11)</f>
        <v>0</v>
      </c>
      <c r="I11" s="289">
        <f>COUNTIF(LN!$C$4:$C$53,C11)</f>
        <v>0</v>
      </c>
      <c r="J11" s="289">
        <f>COUNTIF(LCE!$C$3:$C$43,C11)</f>
        <v>0</v>
      </c>
      <c r="K11" s="289">
        <f>COUNTIF(LI!$C$4:$C$60,C11)</f>
        <v>0</v>
      </c>
      <c r="L11" s="289">
        <f>COUNTIF(LAP!$C$5:$C$45,C11)</f>
        <v>0</v>
      </c>
      <c r="M11" s="289">
        <f>COUNTIF(LGDM!$C$4:$C$22,C11)</f>
        <v>0</v>
      </c>
      <c r="N11" s="289">
        <f>COUNTIF(LAM!$C$5:$C$21,C11)</f>
        <v>0</v>
      </c>
      <c r="O11" s="243">
        <f>COUNTIF(DEP!$C$3:$C$61,C11)</f>
        <v>0</v>
      </c>
      <c r="P11" s="291">
        <f>SUMIF(LCB!$C$4:$C$45,C11,LCB!$F$4:$F$45)+SUMIF(LM!$C$4:$C$140,C11,LM!$F$4:$F$140)+SUMIF(LO!$C$4:$C$230,C11,LO!$F$4:$F$230)+SUMIF(LE!$C$4:$C$200,C11,LE!$F$4:$F$200)+SUMIF(LN!$C$4:$C$48,C11,LN!$F$4:$F$48)+SUMIF(LCE!$C$4:$C$40,C11,LCE!$F$4:$F$40)+SUMIF(LI!$C$4:$C$55,C11,LI!$F$4:$F$55)+SUMIF(LAP!$C$4:$C$45,C11,LAP!$F$4:$F$45)+SUMIF(LGDM!$C$4:$C$22,C11,LGDM!$F$4:$F$22)+SUMIF(LAM!$C$4:$C$18,C11,LAM!$F$4:$F$18)+SUMIF(DEP!$C$4:$C$55,C11,DEP!$F$4:$F$55)</f>
        <v>70</v>
      </c>
      <c r="Q11" s="243">
        <f>SUMIF(LCB!$C$4:$C$45,C11,LCB!$E$4:$E$45)+SUMIF(LM!$C$4:$C$140,C11,LM!$E$4:$E$140)+SUMIF(LO!$C$4:$C$230,C11,LO!$E$4:$E$230)+SUMIF(LE!$C$4:$C$200,C11,LE!$E$4:$E$200)+SUMIF(LN!$C$4:$C$48,C11,LN!$E$4:$E$48)+SUMIF(LCE!$C$4:$C$40,C11,LCE!$E$4:$E$40)+SUMIF(LI!$C$4:$C$55,C11,LI!$E$4:$E$55)+SUMIF(LAP!$C$4:$C$45,C11,LAP!$E$4:$E$45)+SUMIF(LGDM!$C$4:$C$15,C11,LGDM!$E$4:$E$15)+SUMIF(LAM!$C$5:$C$18,C11,LAM!$E$5:$E$18)+SUMIF(DEP!$C$4:$C$55,C11,DEP!$E$4:$E$55)</f>
        <v>18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ht="13.5" customHeight="1">
      <c r="A12" s="35"/>
      <c r="B12" s="107">
        <v>10.0</v>
      </c>
      <c r="C12" s="41" t="s">
        <v>53</v>
      </c>
      <c r="D12" s="288">
        <f t="shared" si="1"/>
        <v>3</v>
      </c>
      <c r="E12" s="243">
        <f>COUNTIF(LCB!$C$4:$C$40,C12)</f>
        <v>1</v>
      </c>
      <c r="F12" s="243">
        <f>COUNTIF(LM!$C$4:$C$144,C12)</f>
        <v>0</v>
      </c>
      <c r="G12" s="243">
        <f>COUNTIF(LO!$C$4:$C$227,C12)</f>
        <v>0</v>
      </c>
      <c r="H12" s="243">
        <f>COUNTIF(LE!$C$4:$C$214,C12)</f>
        <v>2</v>
      </c>
      <c r="I12" s="289">
        <f>COUNTIF(LN!$C$4:$C$53,C12)</f>
        <v>0</v>
      </c>
      <c r="J12" s="289">
        <f>COUNTIF(LCE!$C$3:$C$43,C12)</f>
        <v>0</v>
      </c>
      <c r="K12" s="289">
        <f>COUNTIF(LI!$C$4:$C$60,C12)</f>
        <v>0</v>
      </c>
      <c r="L12" s="289">
        <f>COUNTIF(LAP!$C$5:$C$45,C12)</f>
        <v>0</v>
      </c>
      <c r="M12" s="289">
        <f>COUNTIF(LGDM!$C$4:$C$22,C12)</f>
        <v>0</v>
      </c>
      <c r="N12" s="289">
        <f>COUNTIF(LAM!$C$5:$C$21,C12)</f>
        <v>0</v>
      </c>
      <c r="O12" s="243">
        <f>COUNTIF(DEP!$C$3:$C$61,C12)</f>
        <v>0</v>
      </c>
      <c r="P12" s="291">
        <f>SUMIF(LCB!$C$4:$C$45,C12,LCB!$F$4:$F$45)+SUMIF(LM!$C$4:$C$140,C12,LM!$F$4:$F$140)+SUMIF(LO!$C$4:$C$230,C12,LO!$F$4:$F$230)+SUMIF(LE!$C$4:$C$200,C12,LE!$F$4:$F$200)+SUMIF(LN!$C$4:$C$48,C12,LN!$F$4:$F$48)+SUMIF(LCE!$C$4:$C$40,C12,LCE!$F$4:$F$40)+SUMIF(LI!$C$4:$C$55,C12,LI!$F$4:$F$55)+SUMIF(LAP!$C$4:$C$45,C12,LAP!$F$4:$F$45)+SUMIF(LGDM!$C$4:$C$22,C12,LGDM!$F$4:$F$22)+SUMIF(LAM!$C$4:$C$18,C12,LAM!$F$4:$F$18)+SUMIF(DEP!$C$4:$C$55,C12,DEP!$F$4:$F$55)</f>
        <v>0</v>
      </c>
      <c r="Q12" s="243">
        <f>SUMIF(LCB!$C$4:$C$45,C12,LCB!$E$4:$E$45)+SUMIF(LM!$C$4:$C$140,C12,LM!$E$4:$E$140)+SUMIF(LO!$C$4:$C$230,C12,LO!$E$4:$E$230)+SUMIF(LE!$C$4:$C$200,C12,LE!$E$4:$E$200)+SUMIF(LN!$C$4:$C$48,C12,LN!$E$4:$E$48)+SUMIF(LCE!$C$4:$C$40,C12,LCE!$E$4:$E$40)+SUMIF(LI!$C$4:$C$55,C12,LI!$E$4:$E$55)+SUMIF(LAP!$C$4:$C$45,C12,LAP!$E$4:$E$45)+SUMIF(LGDM!$C$4:$C$15,C12,LGDM!$E$4:$E$15)+SUMIF(LAM!$C$5:$C$18,C12,LAM!$E$5:$E$18)+SUMIF(DEP!$C$4:$C$55,C12,DEP!$E$4:$E$55)</f>
        <v>16</v>
      </c>
      <c r="R12" s="338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ht="13.5" customHeight="1">
      <c r="A13" s="35"/>
      <c r="B13" s="107">
        <v>11.0</v>
      </c>
      <c r="C13" s="41" t="s">
        <v>35</v>
      </c>
      <c r="D13" s="288">
        <f t="shared" si="1"/>
        <v>4</v>
      </c>
      <c r="E13" s="243">
        <f>COUNTIF(LCB!$C$4:$C$40,C13)</f>
        <v>1</v>
      </c>
      <c r="F13" s="243">
        <f>COUNTIF(LM!$C$4:$C$144,C13)</f>
        <v>0</v>
      </c>
      <c r="G13" s="243">
        <f>COUNTIF(LO!$C$4:$C$227,C13)</f>
        <v>3</v>
      </c>
      <c r="H13" s="243">
        <f>COUNTIF(LE!$C$4:$C$214,C13)</f>
        <v>0</v>
      </c>
      <c r="I13" s="289">
        <f>COUNTIF(LN!$C$4:$C$53,C13)</f>
        <v>0</v>
      </c>
      <c r="J13" s="289">
        <f>COUNTIF(LCE!$C$3:$C$43,C13)</f>
        <v>0</v>
      </c>
      <c r="K13" s="289">
        <f>COUNTIF(LI!$C$4:$C$60,C13)</f>
        <v>0</v>
      </c>
      <c r="L13" s="289">
        <f>COUNTIF(LAP!$C$5:$C$45,C13)</f>
        <v>0</v>
      </c>
      <c r="M13" s="289">
        <f>COUNTIF(LGDM!$C$4:$C$22,C13)</f>
        <v>0</v>
      </c>
      <c r="N13" s="289">
        <f>COUNTIF(LAM!$C$5:$C$21,C13)</f>
        <v>0</v>
      </c>
      <c r="O13" s="243">
        <f>COUNTIF(DEP!$C$3:$C$61,C13)</f>
        <v>0</v>
      </c>
      <c r="P13" s="291">
        <f>SUMIF(LCB!$C$4:$C$45,C13,LCB!$F$4:$F$45)+SUMIF(LM!$C$4:$C$140,C13,LM!$F$4:$F$140)+SUMIF(LO!$C$4:$C$230,C13,LO!$F$4:$F$230)+SUMIF(LE!$C$4:$C$200,C13,LE!$F$4:$F$200)+SUMIF(LN!$C$4:$C$48,C13,LN!$F$4:$F$48)+SUMIF(LCE!$C$4:$C$40,C13,LCE!$F$4:$F$40)+SUMIF(LI!$C$4:$C$55,C13,LI!$F$4:$F$55)+SUMIF(LAP!$C$4:$C$45,C13,LAP!$F$4:$F$45)+SUMIF(LGDM!$C$4:$C$22,C13,LGDM!$F$4:$F$22)+SUMIF(LAM!$C$4:$C$18,C13,LAM!$F$4:$F$18)+SUMIF(DEP!$C$4:$C$55,C13,DEP!$F$4:$F$55)</f>
        <v>80</v>
      </c>
      <c r="Q13" s="243">
        <f>SUMIF(LCB!$C$4:$C$45,C13,LCB!$E$4:$E$45)+SUMIF(LM!$C$4:$C$140,C13,LM!$E$4:$E$140)+SUMIF(LO!$C$4:$C$230,C13,LO!$E$4:$E$230)+SUMIF(LE!$C$4:$C$200,C13,LE!$E$4:$E$200)+SUMIF(LN!$C$4:$C$48,C13,LN!$E$4:$E$48)+SUMIF(LCE!$C$4:$C$40,C13,LCE!$E$4:$E$40)+SUMIF(LI!$C$4:$C$55,C13,LI!$E$4:$E$55)+SUMIF(LAP!$C$4:$C$45,C13,LAP!$E$4:$E$45)+SUMIF(LGDM!$C$4:$C$15,C13,LGDM!$E$4:$E$15)+SUMIF(LAM!$C$5:$C$18,C13,LAM!$E$5:$E$18)+SUMIF(DEP!$C$4:$C$55,C13,DEP!$E$4:$E$55)</f>
        <v>19</v>
      </c>
      <c r="R13" s="33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ht="13.5" customHeight="1">
      <c r="A14" s="35"/>
      <c r="B14" s="107">
        <v>12.0</v>
      </c>
      <c r="C14" s="1" t="s">
        <v>322</v>
      </c>
      <c r="D14" s="288">
        <f t="shared" si="1"/>
        <v>4</v>
      </c>
      <c r="E14" s="243">
        <f>COUNTIF(LCB!$C$4:$C$40,C14)</f>
        <v>0</v>
      </c>
      <c r="F14" s="243">
        <f>COUNTIF(LM!$C$4:$C$144,C14)</f>
        <v>0</v>
      </c>
      <c r="G14" s="243">
        <f>COUNTIF(LO!$C$4:$C$227,C14)</f>
        <v>0</v>
      </c>
      <c r="H14" s="243">
        <f>COUNTIF(LE!$C$4:$C$214,C14)</f>
        <v>0</v>
      </c>
      <c r="I14" s="289">
        <f>COUNTIF(LN!$C$4:$C$53,C14)</f>
        <v>4</v>
      </c>
      <c r="J14" s="289">
        <f>COUNTIF(LCE!$C$3:$C$43,C14)</f>
        <v>0</v>
      </c>
      <c r="K14" s="289">
        <f>COUNTIF(LI!$C$4:$C$60,C14)</f>
        <v>0</v>
      </c>
      <c r="L14" s="289">
        <f>COUNTIF(LAP!$C$5:$C$45,C14)</f>
        <v>0</v>
      </c>
      <c r="M14" s="289">
        <f>COUNTIF(LGDM!$C$4:$C$22,C14)</f>
        <v>0</v>
      </c>
      <c r="N14" s="289">
        <f>COUNTIF(LAM!$C$5:$C$21,C14)</f>
        <v>0</v>
      </c>
      <c r="O14" s="243">
        <f>COUNTIF(DEP!$C$3:$C$61,C14)</f>
        <v>0</v>
      </c>
      <c r="P14" s="291">
        <f>SUMIF(LCB!$C$4:$C$45,C14,LCB!$F$4:$F$45)+SUMIF(LM!$C$4:$C$140,C14,LM!$F$4:$F$140)+SUMIF(LO!$C$4:$C$230,C14,LO!$F$4:$F$230)+SUMIF(LE!$C$4:$C$200,C14,LE!$F$4:$F$200)+SUMIF(LN!$C$4:$C$48,C14,LN!$F$4:$F$48)+SUMIF(LCE!$C$4:$C$40,C14,LCE!$F$4:$F$40)+SUMIF(LI!$C$4:$C$55,C14,LI!$F$4:$F$55)+SUMIF(LAP!$C$4:$C$45,C14,LAP!$F$4:$F$45)+SUMIF(LGDM!$C$4:$C$22,C14,LGDM!$F$4:$F$22)+SUMIF(LAM!$C$4:$C$18,C14,LAM!$F$4:$F$18)+SUMIF(DEP!$C$4:$C$55,C14,DEP!$F$4:$F$55)</f>
        <v>120</v>
      </c>
      <c r="Q14" s="243">
        <f>SUMIF(LCB!$C$4:$C$45,C14,LCB!$E$4:$E$45)+SUMIF(LM!$C$4:$C$140,C14,LM!$E$4:$E$140)+SUMIF(LO!$C$4:$C$230,C14,LO!$E$4:$E$230)+SUMIF(LE!$C$4:$C$200,C14,LE!$E$4:$E$200)+SUMIF(LN!$C$4:$C$48,C14,LN!$E$4:$E$48)+SUMIF(LCE!$C$4:$C$40,C14,LCE!$E$4:$E$40)+SUMIF(LI!$C$4:$C$55,C14,LI!$E$4:$E$55)+SUMIF(LAP!$C$4:$C$45,C14,LAP!$E$4:$E$45)+SUMIF(LGDM!$C$4:$C$15,C14,LGDM!$E$4:$E$15)+SUMIF(LAM!$C$5:$C$18,C14,LAM!$E$5:$E$18)+SUMIF(DEP!$C$4:$C$55,C14,DEP!$E$4:$E$55)</f>
        <v>21</v>
      </c>
      <c r="R14" s="338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ht="13.5" customHeight="1">
      <c r="A15" s="35"/>
      <c r="B15" s="107">
        <v>13.0</v>
      </c>
      <c r="C15" s="33" t="s">
        <v>31</v>
      </c>
      <c r="D15" s="288">
        <f t="shared" si="1"/>
        <v>4</v>
      </c>
      <c r="E15" s="243">
        <f>COUNTIF(LCB!$C$4:$C$40,C15)</f>
        <v>2</v>
      </c>
      <c r="F15" s="243">
        <f>COUNTIF(LM!$C$4:$C$144,C15)</f>
        <v>2</v>
      </c>
      <c r="G15" s="243">
        <f>COUNTIF(LO!$C$4:$C$227,C15)</f>
        <v>0</v>
      </c>
      <c r="H15" s="243">
        <f>COUNTIF(LE!$C$4:$C$214,C15)</f>
        <v>0</v>
      </c>
      <c r="I15" s="289">
        <f>COUNTIF(LN!$C$4:$C$53,C15)</f>
        <v>0</v>
      </c>
      <c r="J15" s="289">
        <f>COUNTIF(LCE!$C$3:$C$43,C15)</f>
        <v>0</v>
      </c>
      <c r="K15" s="289">
        <f>COUNTIF(LI!$C$4:$C$60,C15)</f>
        <v>0</v>
      </c>
      <c r="L15" s="289">
        <f>COUNTIF(LAP!$C$5:$C$45,C15)</f>
        <v>0</v>
      </c>
      <c r="M15" s="289">
        <f>COUNTIF(LGDM!$C$4:$C$22,C15)</f>
        <v>0</v>
      </c>
      <c r="N15" s="289">
        <f>COUNTIF(LAM!$C$5:$C$21,C15)</f>
        <v>0</v>
      </c>
      <c r="O15" s="243">
        <f>COUNTIF(DEP!$C$3:$C$61,C15)</f>
        <v>0</v>
      </c>
      <c r="P15" s="291">
        <f>SUMIF(LCB!$C$4:$C$45,C15,LCB!$F$4:$F$45)+SUMIF(LM!$C$4:$C$140,C15,LM!$F$4:$F$140)+SUMIF(LO!$C$4:$C$230,C15,LO!$F$4:$F$230)+SUMIF(LE!$C$4:$C$200,C15,LE!$F$4:$F$200)+SUMIF(LN!$C$4:$C$48,C15,LN!$F$4:$F$48)+SUMIF(LCE!$C$4:$C$40,C15,LCE!$F$4:$F$40)+SUMIF(LI!$C$4:$C$55,C15,LI!$F$4:$F$55)+SUMIF(LAP!$C$4:$C$45,C15,LAP!$F$4:$F$45)+SUMIF(LGDM!$C$4:$C$22,C15,LGDM!$F$4:$F$22)+SUMIF(LAM!$C$4:$C$18,C15,LAM!$F$4:$F$18)+SUMIF(DEP!$C$4:$C$55,C15,DEP!$F$4:$F$55)</f>
        <v>70</v>
      </c>
      <c r="Q15" s="243">
        <f>SUMIF(LCB!$C$4:$C$45,C15,LCB!$E$4:$E$45)+SUMIF(LM!$C$4:$C$140,C15,LM!$E$4:$E$140)+SUMIF(LO!$C$4:$C$230,C15,LO!$E$4:$E$230)+SUMIF(LE!$C$4:$C$200,C15,LE!$E$4:$E$200)+SUMIF(LN!$C$4:$C$48,C15,LN!$E$4:$E$48)+SUMIF(LCE!$C$4:$C$40,C15,LCE!$E$4:$E$40)+SUMIF(LI!$C$4:$C$55,C15,LI!$E$4:$E$55)+SUMIF(LAP!$C$4:$C$45,C15,LAP!$E$4:$E$45)+SUMIF(LGDM!$C$4:$C$15,C15,LGDM!$E$4:$E$15)+SUMIF(LAM!$C$5:$C$18,C15,LAM!$E$5:$E$18)+SUMIF(DEP!$C$4:$C$55,C15,DEP!$E$4:$E$55)</f>
        <v>24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ht="13.5" customHeight="1">
      <c r="A16" s="35"/>
      <c r="B16" s="107">
        <v>14.0</v>
      </c>
      <c r="C16" s="1" t="s">
        <v>107</v>
      </c>
      <c r="D16" s="288">
        <f t="shared" si="1"/>
        <v>5</v>
      </c>
      <c r="E16" s="243">
        <f>COUNTIF(LCB!$C$4:$C$40,C16)</f>
        <v>3</v>
      </c>
      <c r="F16" s="243">
        <f>COUNTIF(LM!$C$4:$C$144,C16)</f>
        <v>0</v>
      </c>
      <c r="G16" s="243">
        <f>COUNTIF(LO!$C$4:$C$227,C16)</f>
        <v>2</v>
      </c>
      <c r="H16" s="243">
        <f>COUNTIF(LE!$C$4:$C$214,C16)</f>
        <v>0</v>
      </c>
      <c r="I16" s="289">
        <f>COUNTIF(LN!$C$4:$C$53,C16)</f>
        <v>0</v>
      </c>
      <c r="J16" s="289">
        <f>COUNTIF(LCE!$C$3:$C$43,C16)</f>
        <v>0</v>
      </c>
      <c r="K16" s="289">
        <f>COUNTIF(LI!$C$4:$C$60,C16)</f>
        <v>0</v>
      </c>
      <c r="L16" s="289">
        <f>COUNTIF(LAP!$C$5:$C$45,C16)</f>
        <v>0</v>
      </c>
      <c r="M16" s="289">
        <f>COUNTIF(LGDM!$C$4:$C$22,C16)</f>
        <v>0</v>
      </c>
      <c r="N16" s="289">
        <f>COUNTIF(LAM!$C$5:$C$21,C16)</f>
        <v>0</v>
      </c>
      <c r="O16" s="243">
        <f>COUNTIF(DEP!$C$3:$C$61,C16)</f>
        <v>0</v>
      </c>
      <c r="P16" s="291">
        <f>SUMIF(LCB!$C$4:$C$45,C16,LCB!$F$4:$F$45)+SUMIF(LM!$C$4:$C$140,C16,LM!$F$4:$F$140)+SUMIF(LO!$C$4:$C$230,C16,LO!$F$4:$F$230)+SUMIF(LE!$C$4:$C$200,C16,LE!$F$4:$F$200)+SUMIF(LN!$C$4:$C$48,C16,LN!$F$4:$F$48)+SUMIF(LCE!$C$4:$C$40,C16,LCE!$F$4:$F$40)+SUMIF(LI!$C$4:$C$55,C16,LI!$F$4:$F$55)+SUMIF(LAP!$C$4:$C$45,C16,LAP!$F$4:$F$45)+SUMIF(LGDM!$C$4:$C$22,C16,LGDM!$F$4:$F$22)+SUMIF(LAM!$C$4:$C$18,C16,LAM!$F$4:$F$18)+SUMIF(DEP!$C$4:$C$55,C16,DEP!$F$4:$F$55)</f>
        <v>0</v>
      </c>
      <c r="Q16" s="243">
        <f>SUMIF(LCB!$C$4:$C$45,C16,LCB!$E$4:$E$45)+SUMIF(LM!$C$4:$C$140,C16,LM!$E$4:$E$140)+SUMIF(LO!$C$4:$C$230,C16,LO!$E$4:$E$230)+SUMIF(LE!$C$4:$C$200,C16,LE!$E$4:$E$200)+SUMIF(LN!$C$4:$C$48,C16,LN!$E$4:$E$48)+SUMIF(LCE!$C$4:$C$40,C16,LCE!$E$4:$E$40)+SUMIF(LI!$C$4:$C$55,C16,LI!$E$4:$E$55)+SUMIF(LAP!$C$4:$C$45,C16,LAP!$E$4:$E$45)+SUMIF(LGDM!$C$4:$C$15,C16,LGDM!$E$4:$E$15)+SUMIF(LAM!$C$5:$C$18,C16,LAM!$E$5:$E$18)+SUMIF(DEP!$C$4:$C$55,C16,DEP!$E$4:$E$55)</f>
        <v>27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ht="13.5" customHeight="1">
      <c r="A17" s="35"/>
      <c r="B17" s="107">
        <v>15.0</v>
      </c>
      <c r="C17" s="57" t="s">
        <v>81</v>
      </c>
      <c r="D17" s="288">
        <f t="shared" si="1"/>
        <v>5</v>
      </c>
      <c r="E17" s="243">
        <f>COUNTIF(LCB!$C$4:$C$40,C17)</f>
        <v>2</v>
      </c>
      <c r="F17" s="243">
        <f>COUNTIF(LM!$C$4:$C$144,C17)</f>
        <v>0</v>
      </c>
      <c r="G17" s="243">
        <f>COUNTIF(LO!$C$4:$C$227,C17)</f>
        <v>3</v>
      </c>
      <c r="H17" s="243">
        <f>COUNTIF(LE!$C$4:$C$214,C17)</f>
        <v>0</v>
      </c>
      <c r="I17" s="289">
        <f>COUNTIF(LN!$C$4:$C$53,C17)</f>
        <v>0</v>
      </c>
      <c r="J17" s="289">
        <f>COUNTIF(LCE!$C$3:$C$43,C17)</f>
        <v>0</v>
      </c>
      <c r="K17" s="289">
        <f>COUNTIF(LI!$C$4:$C$60,C17)</f>
        <v>0</v>
      </c>
      <c r="L17" s="289">
        <f>COUNTIF(LAP!$C$5:$C$45,C17)</f>
        <v>0</v>
      </c>
      <c r="M17" s="289">
        <f>COUNTIF(LGDM!$C$4:$C$22,C17)</f>
        <v>0</v>
      </c>
      <c r="N17" s="289">
        <f>COUNTIF(LAM!$C$5:$C$21,C17)</f>
        <v>0</v>
      </c>
      <c r="O17" s="243">
        <f>COUNTIF(DEP!$C$3:$C$61,C17)</f>
        <v>0</v>
      </c>
      <c r="P17" s="291">
        <f>SUMIF(LCB!$C$4:$C$45,C17,LCB!$F$4:$F$45)+SUMIF(LM!$C$4:$C$140,C17,LM!$F$4:$F$140)+SUMIF(LO!$C$4:$C$230,C17,LO!$F$4:$F$230)+SUMIF(LE!$C$4:$C$200,C17,LE!$F$4:$F$200)+SUMIF(LN!$C$4:$C$48,C17,LN!$F$4:$F$48)+SUMIF(LCE!$C$4:$C$40,C17,LCE!$F$4:$F$40)+SUMIF(LI!$C$4:$C$55,C17,LI!$F$4:$F$55)+SUMIF(LAP!$C$4:$C$45,C17,LAP!$F$4:$F$45)+SUMIF(LGDM!$C$4:$C$22,C17,LGDM!$F$4:$F$22)+SUMIF(LAM!$C$4:$C$18,C17,LAM!$F$4:$F$18)+SUMIF(DEP!$C$4:$C$55,C17,DEP!$F$4:$F$55)</f>
        <v>120</v>
      </c>
      <c r="Q17" s="243">
        <f>SUMIF(LCB!$C$4:$C$45,C17,LCB!$E$4:$E$45)+SUMIF(LM!$C$4:$C$140,C17,LM!$E$4:$E$140)+SUMIF(LO!$C$4:$C$230,C17,LO!$E$4:$E$230)+SUMIF(LE!$C$4:$C$200,C17,LE!$E$4:$E$200)+SUMIF(LN!$C$4:$C$48,C17,LN!$E$4:$E$48)+SUMIF(LCE!$C$4:$C$40,C17,LCE!$E$4:$E$40)+SUMIF(LI!$C$4:$C$55,C17,LI!$E$4:$E$55)+SUMIF(LAP!$C$4:$C$45,C17,LAP!$E$4:$E$45)+SUMIF(LGDM!$C$4:$C$15,C17,LGDM!$E$4:$E$15)+SUMIF(LAM!$C$5:$C$18,C17,LAM!$E$5:$E$18)+SUMIF(DEP!$C$4:$C$55,C17,DEP!$E$4:$E$55)</f>
        <v>23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>
      <c r="A18" s="35"/>
      <c r="B18" s="352"/>
      <c r="C18" s="123"/>
      <c r="D18" s="13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13"/>
      <c r="Q18" s="13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>
      <c r="A19" s="35"/>
      <c r="B19" s="352"/>
      <c r="C19" s="11"/>
      <c r="D19" s="13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13"/>
      <c r="Q19" s="13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ht="32.25" customHeight="1">
      <c r="A20" s="35"/>
      <c r="B20" s="282" t="s">
        <v>15</v>
      </c>
      <c r="C20" s="283" t="s">
        <v>685</v>
      </c>
      <c r="D20" s="129" t="s">
        <v>334</v>
      </c>
      <c r="E20" s="284" t="s">
        <v>23</v>
      </c>
      <c r="F20" s="284" t="s">
        <v>15</v>
      </c>
      <c r="G20" s="284" t="s">
        <v>46</v>
      </c>
      <c r="H20" s="284" t="s">
        <v>16</v>
      </c>
      <c r="I20" s="284" t="s">
        <v>252</v>
      </c>
      <c r="J20" s="284" t="s">
        <v>41</v>
      </c>
      <c r="K20" s="284" t="s">
        <v>48</v>
      </c>
      <c r="L20" s="284" t="s">
        <v>58</v>
      </c>
      <c r="M20" s="286" t="s">
        <v>439</v>
      </c>
      <c r="N20" s="284" t="s">
        <v>687</v>
      </c>
      <c r="O20" s="284" t="s">
        <v>56</v>
      </c>
      <c r="P20" s="129" t="s">
        <v>210</v>
      </c>
      <c r="Q20" s="129" t="s">
        <v>688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ht="13.5" customHeight="1">
      <c r="A21" s="35"/>
      <c r="B21" s="107">
        <v>1.0</v>
      </c>
      <c r="C21" s="38" t="s">
        <v>105</v>
      </c>
      <c r="D21" s="288">
        <f t="shared" ref="D21:D50" si="2">SUM(E21:O21)</f>
        <v>1</v>
      </c>
      <c r="E21" s="243">
        <f>COUNTIF(LCB!$C$4:$C$40,C21)</f>
        <v>0</v>
      </c>
      <c r="F21" s="243">
        <f>COUNTIF(LM!$C$4:$C$144,C21)</f>
        <v>1</v>
      </c>
      <c r="G21" s="243">
        <f>COUNTIF(LO!$C$4:$C$227,C21)</f>
        <v>0</v>
      </c>
      <c r="H21" s="243">
        <f>COUNTIF(LE!$C$4:$C$214,C21)</f>
        <v>0</v>
      </c>
      <c r="I21" s="289">
        <f>COUNTIF(LN!$C$4:$C$53,C21)</f>
        <v>0</v>
      </c>
      <c r="J21" s="289">
        <f>COUNTIF(LCE!$C$3:$C$43,C21)</f>
        <v>0</v>
      </c>
      <c r="K21" s="289">
        <f>COUNTIF(LI!$C$4:$C$60,C21)</f>
        <v>0</v>
      </c>
      <c r="L21" s="289">
        <f>COUNTIF(LAP!$C$5:$C$45,C21)</f>
        <v>0</v>
      </c>
      <c r="M21" s="289">
        <f>COUNTIF(LGDM!$C$4:$C$22,C21)</f>
        <v>0</v>
      </c>
      <c r="N21" s="289">
        <f>COUNTIF(LAM!$C$5:$C$21,C21)</f>
        <v>0</v>
      </c>
      <c r="O21" s="243">
        <f>COUNTIF(DEP!$C$3:$C$61,C21)</f>
        <v>0</v>
      </c>
      <c r="P21" s="291">
        <f>SUMIF(LCB!$C$4:$C$45,C21,LCB!$F$4:$F$45)+SUMIF(LM!$C$4:$C$140,C21,LM!$F$4:$F$140)+SUMIF(LO!$C$4:$C$230,C21,LO!$F$4:$F$230)+SUMIF(LE!$C$4:$C$200,C21,LE!$F$4:$F$200)+SUMIF(LN!$C$4:$C$48,C21,LN!$F$4:$F$48)+SUMIF(LCE!$C$4:$C$40,C21,LCE!$F$4:$F$40)+SUMIF(LI!$C$4:$C$55,C21,LI!$F$4:$F$55)+SUMIF(LAP!$C$4:$C$45,C21,LAP!$F$4:$F$45)+SUMIF(LGDM!$C$4:$C$22,C21,LGDM!$F$4:$F$22)+SUMIF(LAM!$C$4:$C$18,C21,LAM!$F$4:$F$18)+SUMIF(DEP!$C$4:$C$55,C21,DEP!$F$4:$F$55)</f>
        <v>42</v>
      </c>
      <c r="Q21" s="243">
        <f>SUMIF(LCB!$C$4:$C$45,C21,LCB!$E$4:$E$45)+SUMIF(LM!$C$4:$C$140,C21,LM!$E$4:$E$140)+SUMIF(LO!$C$4:$C$230,C21,LO!$E$4:$E$230)+SUMIF(LE!$C$4:$C$200,C21,LE!$E$4:$E$200)+SUMIF(LN!$C$4:$C$48,C21,LN!$E$4:$E$48)+SUMIF(LCE!$C$4:$C$40,C21,LCE!$E$4:$E$40)+SUMIF(LI!$C$4:$C$55,C21,LI!$E$4:$E$55)+SUMIF(LAP!$C$4:$C$45,C21,LAP!$E$4:$E$45)+SUMIF(LGDM!$C$4:$C$15,C21,LGDM!$E$4:$E$15)+SUMIF(LAM!$C$5:$C$18,C21,LAM!$E$5:$E$18)+SUMIF(DEP!$C$4:$C$55,C21,DEP!$E$4:$E$55)</f>
        <v>4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ht="13.5" customHeight="1">
      <c r="A22" s="35"/>
      <c r="B22" s="107">
        <v>2.0</v>
      </c>
      <c r="C22" s="38" t="s">
        <v>118</v>
      </c>
      <c r="D22" s="288">
        <f t="shared" si="2"/>
        <v>4</v>
      </c>
      <c r="E22" s="243">
        <f>COUNTIF(LCB!$C$4:$C$40,C22)</f>
        <v>0</v>
      </c>
      <c r="F22" s="243">
        <f>COUNTIF(LM!$C$4:$C$144,C22)</f>
        <v>4</v>
      </c>
      <c r="G22" s="243">
        <f>COUNTIF(LO!$C$4:$C$227,C22)</f>
        <v>0</v>
      </c>
      <c r="H22" s="243">
        <f>COUNTIF(LE!$C$4:$C$214,C22)</f>
        <v>0</v>
      </c>
      <c r="I22" s="289">
        <f>COUNTIF(LN!$C$4:$C$53,C22)</f>
        <v>0</v>
      </c>
      <c r="J22" s="289">
        <f>COUNTIF(LCE!$C$3:$C$43,C22)</f>
        <v>0</v>
      </c>
      <c r="K22" s="289">
        <f>COUNTIF(LI!$C$4:$C$60,C22)</f>
        <v>0</v>
      </c>
      <c r="L22" s="289">
        <f>COUNTIF(LAP!$C$5:$C$45,C22)</f>
        <v>0</v>
      </c>
      <c r="M22" s="289">
        <f>COUNTIF(LGDM!$C$4:$C$22,C22)</f>
        <v>0</v>
      </c>
      <c r="N22" s="289">
        <f>COUNTIF(LAM!$C$5:$C$21,C22)</f>
        <v>0</v>
      </c>
      <c r="O22" s="243">
        <f>COUNTIF(DEP!$C$3:$C$61,C22)</f>
        <v>0</v>
      </c>
      <c r="P22" s="291">
        <f>SUMIF(LCB!$C$4:$C$45,C22,LCB!$F$4:$F$45)+SUMIF(LM!$C$4:$C$140,C22,LM!$F$4:$F$140)+SUMIF(LO!$C$4:$C$230,C22,LO!$F$4:$F$230)+SUMIF(LE!$C$4:$C$200,C22,LE!$F$4:$F$200)+SUMIF(LN!$C$4:$C$48,C22,LN!$F$4:$F$48)+SUMIF(LCE!$C$4:$C$40,C22,LCE!$F$4:$F$40)+SUMIF(LI!$C$4:$C$55,C22,LI!$F$4:$F$55)+SUMIF(LAP!$C$4:$C$45,C22,LAP!$F$4:$F$45)+SUMIF(LGDM!$C$4:$C$22,C22,LGDM!$F$4:$F$22)+SUMIF(LAM!$C$4:$C$18,C22,LAM!$F$4:$F$18)+SUMIF(DEP!$C$4:$C$55,C22,DEP!$F$4:$F$55)</f>
        <v>121</v>
      </c>
      <c r="Q22" s="243">
        <f>SUMIF(LCB!$C$4:$C$45,C22,LCB!$E$4:$E$45)+SUMIF(LM!$C$4:$C$140,C22,LM!$E$4:$E$140)+SUMIF(LO!$C$4:$C$230,C22,LO!$E$4:$E$230)+SUMIF(LE!$C$4:$C$200,C22,LE!$E$4:$E$200)+SUMIF(LN!$C$4:$C$48,C22,LN!$E$4:$E$48)+SUMIF(LCE!$C$4:$C$40,C22,LCE!$E$4:$E$40)+SUMIF(LI!$C$4:$C$55,C22,LI!$E$4:$E$55)+SUMIF(LAP!$C$4:$C$45,C22,LAP!$E$4:$E$45)+SUMIF(LGDM!$C$4:$C$15,C22,LGDM!$E$4:$E$15)+SUMIF(LAM!$C$5:$C$18,C22,LAM!$E$5:$E$18)+SUMIF(DEP!$C$4:$C$55,C22,DEP!$E$4:$E$55)</f>
        <v>24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ht="13.5" customHeight="1">
      <c r="A23" s="35"/>
      <c r="B23" s="107">
        <v>3.0</v>
      </c>
      <c r="C23" s="38" t="s">
        <v>201</v>
      </c>
      <c r="D23" s="288">
        <f t="shared" si="2"/>
        <v>4</v>
      </c>
      <c r="E23" s="243">
        <f>COUNTIF(LCB!$C$4:$C$40,C23)</f>
        <v>0</v>
      </c>
      <c r="F23" s="243">
        <f>COUNTIF(LM!$C$4:$C$144,C23)</f>
        <v>4</v>
      </c>
      <c r="G23" s="243">
        <f>COUNTIF(LO!$C$4:$C$227,C23)</f>
        <v>0</v>
      </c>
      <c r="H23" s="243">
        <f>COUNTIF(LE!$C$4:$C$214,C23)</f>
        <v>0</v>
      </c>
      <c r="I23" s="289">
        <f>COUNTIF(LN!$C$4:$C$53,C23)</f>
        <v>0</v>
      </c>
      <c r="J23" s="289">
        <f>COUNTIF(LCE!$C$3:$C$43,C23)</f>
        <v>0</v>
      </c>
      <c r="K23" s="289">
        <f>COUNTIF(LI!$C$4:$C$60,C23)</f>
        <v>0</v>
      </c>
      <c r="L23" s="289">
        <f>COUNTIF(LAP!$C$5:$C$45,C23)</f>
        <v>0</v>
      </c>
      <c r="M23" s="289">
        <f>COUNTIF(LGDM!$C$4:$C$22,C23)</f>
        <v>0</v>
      </c>
      <c r="N23" s="289">
        <f>COUNTIF(LAM!$C$5:$C$21,C23)</f>
        <v>0</v>
      </c>
      <c r="O23" s="243">
        <f>COUNTIF(DEP!$C$3:$C$61,C23)</f>
        <v>0</v>
      </c>
      <c r="P23" s="291">
        <f>SUMIF(LCB!$C$4:$C$45,C23,LCB!$F$4:$F$45)+SUMIF(LM!$C$4:$C$140,C23,LM!$F$4:$F$140)+SUMIF(LO!$C$4:$C$230,C23,LO!$F$4:$F$230)+SUMIF(LE!$C$4:$C$200,C23,LE!$F$4:$F$200)+SUMIF(LN!$C$4:$C$48,C23,LN!$F$4:$F$48)+SUMIF(LCE!$C$4:$C$40,C23,LCE!$F$4:$F$40)+SUMIF(LI!$C$4:$C$55,C23,LI!$F$4:$F$55)+SUMIF(LAP!$C$4:$C$45,C23,LAP!$F$4:$F$45)+SUMIF(LGDM!$C$4:$C$22,C23,LGDM!$F$4:$F$22)+SUMIF(LAM!$C$4:$C$18,C23,LAM!$F$4:$F$18)+SUMIF(DEP!$C$4:$C$55,C23,DEP!$F$4:$F$55)</f>
        <v>120</v>
      </c>
      <c r="Q23" s="243">
        <f>SUMIF(LCB!$C$4:$C$45,C23,LCB!$E$4:$E$45)+SUMIF(LM!$C$4:$C$140,C23,LM!$E$4:$E$140)+SUMIF(LO!$C$4:$C$230,C23,LO!$E$4:$E$230)+SUMIF(LE!$C$4:$C$200,C23,LE!$E$4:$E$200)+SUMIF(LN!$C$4:$C$48,C23,LN!$E$4:$E$48)+SUMIF(LCE!$C$4:$C$40,C23,LCE!$E$4:$E$40)+SUMIF(LI!$C$4:$C$55,C23,LI!$E$4:$E$55)+SUMIF(LAP!$C$4:$C$45,C23,LAP!$E$4:$E$45)+SUMIF(LGDM!$C$4:$C$15,C23,LGDM!$E$4:$E$15)+SUMIF(LAM!$C$5:$C$18,C23,LAM!$E$5:$E$18)+SUMIF(DEP!$C$4:$C$55,C23,DEP!$E$4:$E$55)</f>
        <v>26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ht="13.5" customHeight="1">
      <c r="A24" s="35"/>
      <c r="B24" s="107">
        <v>4.0</v>
      </c>
      <c r="C24" s="38" t="s">
        <v>255</v>
      </c>
      <c r="D24" s="288">
        <f t="shared" si="2"/>
        <v>4</v>
      </c>
      <c r="E24" s="243">
        <f>COUNTIF(LCB!$C$4:$C$40,C24)</f>
        <v>0</v>
      </c>
      <c r="F24" s="243">
        <f>COUNTIF(LM!$C$4:$C$144,C24)</f>
        <v>0</v>
      </c>
      <c r="G24" s="243">
        <f>COUNTIF(LO!$C$4:$C$227,C24)</f>
        <v>0</v>
      </c>
      <c r="H24" s="243">
        <f>COUNTIF(LE!$C$4:$C$214,C24)</f>
        <v>4</v>
      </c>
      <c r="I24" s="289">
        <f>COUNTIF(LN!$C$4:$C$53,C24)</f>
        <v>0</v>
      </c>
      <c r="J24" s="289">
        <f>COUNTIF(LCE!$C$3:$C$43,C24)</f>
        <v>0</v>
      </c>
      <c r="K24" s="289">
        <f>COUNTIF(LI!$C$4:$C$60,C24)</f>
        <v>0</v>
      </c>
      <c r="L24" s="289">
        <f>COUNTIF(LAP!$C$5:$C$45,C24)</f>
        <v>0</v>
      </c>
      <c r="M24" s="289">
        <f>COUNTIF(LGDM!$C$4:$C$22,C24)</f>
        <v>0</v>
      </c>
      <c r="N24" s="289">
        <f>COUNTIF(LAM!$C$5:$C$21,C24)</f>
        <v>0</v>
      </c>
      <c r="O24" s="243">
        <f>COUNTIF(DEP!$C$3:$C$61,C24)</f>
        <v>0</v>
      </c>
      <c r="P24" s="291">
        <f>SUMIF(LCB!$C$4:$C$45,C24,LCB!$F$4:$F$45)+SUMIF(LM!$C$4:$C$140,C24,LM!$F$4:$F$140)+SUMIF(LO!$C$4:$C$230,C24,LO!$F$4:$F$230)+SUMIF(LE!$C$4:$C$200,C24,LE!$F$4:$F$200)+SUMIF(LN!$C$4:$C$48,C24,LN!$F$4:$F$48)+SUMIF(LCE!$C$4:$C$40,C24,LCE!$F$4:$F$40)+SUMIF(LI!$C$4:$C$55,C24,LI!$F$4:$F$55)+SUMIF(LAP!$C$4:$C$45,C24,LAP!$F$4:$F$45)+SUMIF(LGDM!$C$4:$C$22,C24,LGDM!$F$4:$F$22)+SUMIF(LAM!$C$4:$C$18,C24,LAM!$F$4:$F$18)+SUMIF(DEP!$C$4:$C$55,C24,DEP!$F$4:$F$55)</f>
        <v>136</v>
      </c>
      <c r="Q24" s="243">
        <f>SUMIF(LCB!$C$4:$C$45,C24,LCB!$E$4:$E$45)+SUMIF(LM!$C$4:$C$140,C24,LM!$E$4:$E$140)+SUMIF(LO!$C$4:$C$230,C24,LO!$E$4:$E$230)+SUMIF(LE!$C$4:$C$200,C24,LE!$E$4:$E$200)+SUMIF(LN!$C$4:$C$48,C24,LN!$E$4:$E$48)+SUMIF(LCE!$C$4:$C$40,C24,LCE!$E$4:$E$40)+SUMIF(LI!$C$4:$C$55,C24,LI!$E$4:$E$55)+SUMIF(LAP!$C$4:$C$45,C24,LAP!$E$4:$E$45)+SUMIF(LGDM!$C$4:$C$15,C24,LGDM!$E$4:$E$15)+SUMIF(LAM!$C$5:$C$18,C24,LAM!$E$5:$E$18)+SUMIF(DEP!$C$4:$C$55,C24,DEP!$E$4:$E$55)</f>
        <v>20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ht="13.5" customHeight="1">
      <c r="A25" s="35"/>
      <c r="B25" s="107">
        <v>5.0</v>
      </c>
      <c r="C25" s="38" t="s">
        <v>126</v>
      </c>
      <c r="D25" s="288">
        <f t="shared" si="2"/>
        <v>4</v>
      </c>
      <c r="E25" s="243">
        <f>COUNTIF(LCB!$C$4:$C$40,C25)</f>
        <v>0</v>
      </c>
      <c r="F25" s="243">
        <f>COUNTIF(LM!$C$4:$C$144,C25)</f>
        <v>4</v>
      </c>
      <c r="G25" s="243">
        <f>COUNTIF(LO!$C$4:$C$227,C25)</f>
        <v>0</v>
      </c>
      <c r="H25" s="243">
        <f>COUNTIF(LE!$C$4:$C$214,C25)</f>
        <v>0</v>
      </c>
      <c r="I25" s="289">
        <f>COUNTIF(LN!$C$4:$C$53,C25)</f>
        <v>0</v>
      </c>
      <c r="J25" s="289">
        <f>COUNTIF(LCE!$C$3:$C$43,C25)</f>
        <v>0</v>
      </c>
      <c r="K25" s="289">
        <f>COUNTIF(LI!$C$4:$C$60,C25)</f>
        <v>0</v>
      </c>
      <c r="L25" s="289">
        <f>COUNTIF(LAP!$C$5:$C$45,C25)</f>
        <v>0</v>
      </c>
      <c r="M25" s="289">
        <f>COUNTIF(LGDM!$C$4:$C$22,C25)</f>
        <v>0</v>
      </c>
      <c r="N25" s="289">
        <f>COUNTIF(LAM!$C$5:$C$21,C25)</f>
        <v>0</v>
      </c>
      <c r="O25" s="243">
        <f>COUNTIF(DEP!$C$3:$C$61,C25)</f>
        <v>0</v>
      </c>
      <c r="P25" s="291">
        <f>SUMIF(LCB!$C$4:$C$45,C25,LCB!$F$4:$F$45)+SUMIF(LM!$C$4:$C$140,C25,LM!$F$4:$F$140)+SUMIF(LO!$C$4:$C$230,C25,LO!$F$4:$F$230)+SUMIF(LE!$C$4:$C$200,C25,LE!$F$4:$F$200)+SUMIF(LN!$C$4:$C$48,C25,LN!$F$4:$F$48)+SUMIF(LCE!$C$4:$C$40,C25,LCE!$F$4:$F$40)+SUMIF(LI!$C$4:$C$55,C25,LI!$F$4:$F$55)+SUMIF(LAP!$C$4:$C$45,C25,LAP!$F$4:$F$45)+SUMIF(LGDM!$C$4:$C$22,C25,LGDM!$F$4:$F$22)+SUMIF(LAM!$C$4:$C$18,C25,LAM!$F$4:$F$18)+SUMIF(DEP!$C$4:$C$55,C25,DEP!$F$4:$F$55)</f>
        <v>180</v>
      </c>
      <c r="Q25" s="243">
        <f>SUMIF(LCB!$C$4:$C$45,C25,LCB!$E$4:$E$45)+SUMIF(LM!$C$4:$C$140,C25,LM!$E$4:$E$140)+SUMIF(LO!$C$4:$C$230,C25,LO!$E$4:$E$230)+SUMIF(LE!$C$4:$C$200,C25,LE!$E$4:$E$200)+SUMIF(LN!$C$4:$C$48,C25,LN!$E$4:$E$48)+SUMIF(LCE!$C$4:$C$40,C25,LCE!$E$4:$E$40)+SUMIF(LI!$C$4:$C$55,C25,LI!$E$4:$E$55)+SUMIF(LAP!$C$4:$C$45,C25,LAP!$E$4:$E$45)+SUMIF(LGDM!$C$4:$C$15,C25,LGDM!$E$4:$E$15)+SUMIF(LAM!$C$5:$C$18,C25,LAM!$E$5:$E$18)+SUMIF(DEP!$C$4:$C$55,C25,DEP!$E$4:$E$55)</f>
        <v>20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ht="13.5" customHeight="1">
      <c r="A26" s="35"/>
      <c r="B26" s="107">
        <v>6.0</v>
      </c>
      <c r="C26" s="38" t="s">
        <v>231</v>
      </c>
      <c r="D26" s="288">
        <f t="shared" si="2"/>
        <v>4</v>
      </c>
      <c r="E26" s="243">
        <f>COUNTIF(LCB!$C$4:$C$40,C26)</f>
        <v>0</v>
      </c>
      <c r="F26" s="243">
        <f>COUNTIF(LM!$C$4:$C$144,C26)</f>
        <v>4</v>
      </c>
      <c r="G26" s="243">
        <f>COUNTIF(LO!$C$4:$C$227,C26)</f>
        <v>0</v>
      </c>
      <c r="H26" s="243">
        <f>COUNTIF(LE!$C$4:$C$214,C26)</f>
        <v>0</v>
      </c>
      <c r="I26" s="289">
        <f>COUNTIF(LN!$C$4:$C$53,C26)</f>
        <v>0</v>
      </c>
      <c r="J26" s="289">
        <f>COUNTIF(LCE!$C$3:$C$43,C26)</f>
        <v>0</v>
      </c>
      <c r="K26" s="289">
        <f>COUNTIF(LI!$C$4:$C$60,C26)</f>
        <v>0</v>
      </c>
      <c r="L26" s="289">
        <f>COUNTIF(LAP!$C$5:$C$45,C26)</f>
        <v>0</v>
      </c>
      <c r="M26" s="289">
        <f>COUNTIF(LGDM!$C$4:$C$22,C26)</f>
        <v>0</v>
      </c>
      <c r="N26" s="289">
        <f>COUNTIF(LAM!$C$5:$C$21,C26)</f>
        <v>0</v>
      </c>
      <c r="O26" s="243">
        <f>COUNTIF(DEP!$C$3:$C$61,C26)</f>
        <v>0</v>
      </c>
      <c r="P26" s="291">
        <f>SUMIF(LCB!$C$4:$C$45,C26,LCB!$F$4:$F$45)+SUMIF(LM!$C$4:$C$140,C26,LM!$F$4:$F$140)+SUMIF(LO!$C$4:$C$230,C26,LO!$F$4:$F$230)+SUMIF(LE!$C$4:$C$200,C26,LE!$F$4:$F$200)+SUMIF(LN!$C$4:$C$48,C26,LN!$F$4:$F$48)+SUMIF(LCE!$C$4:$C$40,C26,LCE!$F$4:$F$40)+SUMIF(LI!$C$4:$C$55,C26,LI!$F$4:$F$55)+SUMIF(LAP!$C$4:$C$45,C26,LAP!$F$4:$F$45)+SUMIF(LGDM!$C$4:$C$22,C26,LGDM!$F$4:$F$22)+SUMIF(LAM!$C$4:$C$18,C26,LAM!$F$4:$F$18)+SUMIF(DEP!$C$4:$C$55,C26,DEP!$F$4:$F$55)</f>
        <v>138</v>
      </c>
      <c r="Q26" s="243">
        <f>SUMIF(LCB!$C$4:$C$45,C26,LCB!$E$4:$E$45)+SUMIF(LM!$C$4:$C$140,C26,LM!$E$4:$E$140)+SUMIF(LO!$C$4:$C$230,C26,LO!$E$4:$E$230)+SUMIF(LE!$C$4:$C$200,C26,LE!$E$4:$E$200)+SUMIF(LN!$C$4:$C$48,C26,LN!$E$4:$E$48)+SUMIF(LCE!$C$4:$C$40,C26,LCE!$E$4:$E$40)+SUMIF(LI!$C$4:$C$55,C26,LI!$E$4:$E$55)+SUMIF(LAP!$C$4:$C$45,C26,LAP!$E$4:$E$45)+SUMIF(LGDM!$C$4:$C$15,C26,LGDM!$E$4:$E$15)+SUMIF(LAM!$C$5:$C$18,C26,LAM!$E$5:$E$18)+SUMIF(DEP!$C$4:$C$55,C26,DEP!$E$4:$E$55)</f>
        <v>25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ht="13.5" customHeight="1">
      <c r="A27" s="35"/>
      <c r="B27" s="107">
        <v>7.0</v>
      </c>
      <c r="C27" s="38" t="s">
        <v>22</v>
      </c>
      <c r="D27" s="288">
        <f t="shared" si="2"/>
        <v>4</v>
      </c>
      <c r="E27" s="243">
        <f>COUNTIF(LCB!$C$4:$C$40,C27)</f>
        <v>0</v>
      </c>
      <c r="F27" s="243">
        <f>COUNTIF(LM!$C$4:$C$144,C27)</f>
        <v>4</v>
      </c>
      <c r="G27" s="243">
        <f>COUNTIF(LO!$C$4:$C$227,C27)</f>
        <v>0</v>
      </c>
      <c r="H27" s="243">
        <f>COUNTIF(LE!$C$4:$C$214,C27)</f>
        <v>0</v>
      </c>
      <c r="I27" s="289">
        <f>COUNTIF(LN!$C$4:$C$53,C27)</f>
        <v>0</v>
      </c>
      <c r="J27" s="289">
        <f>COUNTIF(LCE!$C$3:$C$43,C27)</f>
        <v>0</v>
      </c>
      <c r="K27" s="289">
        <f>COUNTIF(LI!$C$4:$C$60,C27)</f>
        <v>0</v>
      </c>
      <c r="L27" s="289">
        <f>COUNTIF(LAP!$C$5:$C$45,C27)</f>
        <v>0</v>
      </c>
      <c r="M27" s="289">
        <f>COUNTIF(LGDM!$C$4:$C$22,C27)</f>
        <v>0</v>
      </c>
      <c r="N27" s="289">
        <f>COUNTIF(LAM!$C$5:$C$21,C27)</f>
        <v>0</v>
      </c>
      <c r="O27" s="243">
        <f>COUNTIF(DEP!$C$3:$C$61,C27)</f>
        <v>0</v>
      </c>
      <c r="P27" s="291">
        <f>SUMIF(LCB!$C$4:$C$45,C27,LCB!$F$4:$F$45)+SUMIF(LM!$C$4:$C$140,C27,LM!$F$4:$F$140)+SUMIF(LO!$C$4:$C$230,C27,LO!$F$4:$F$230)+SUMIF(LE!$C$4:$C$200,C27,LE!$F$4:$F$200)+SUMIF(LN!$C$4:$C$48,C27,LN!$F$4:$F$48)+SUMIF(LCE!$C$4:$C$40,C27,LCE!$F$4:$F$40)+SUMIF(LI!$C$4:$C$55,C27,LI!$F$4:$F$55)+SUMIF(LAP!$C$4:$C$45,C27,LAP!$F$4:$F$45)+SUMIF(LGDM!$C$4:$C$22,C27,LGDM!$F$4:$F$22)+SUMIF(LAM!$C$4:$C$18,C27,LAM!$F$4:$F$18)+SUMIF(DEP!$C$4:$C$55,C27,DEP!$F$4:$F$55)</f>
        <v>146</v>
      </c>
      <c r="Q27" s="243">
        <f>SUMIF(LCB!$C$4:$C$45,C27,LCB!$E$4:$E$45)+SUMIF(LM!$C$4:$C$140,C27,LM!$E$4:$E$140)+SUMIF(LO!$C$4:$C$230,C27,LO!$E$4:$E$230)+SUMIF(LE!$C$4:$C$200,C27,LE!$E$4:$E$200)+SUMIF(LN!$C$4:$C$48,C27,LN!$E$4:$E$48)+SUMIF(LCE!$C$4:$C$40,C27,LCE!$E$4:$E$40)+SUMIF(LI!$C$4:$C$55,C27,LI!$E$4:$E$55)+SUMIF(LAP!$C$4:$C$45,C27,LAP!$E$4:$E$45)+SUMIF(LGDM!$C$4:$C$15,C27,LGDM!$E$4:$E$15)+SUMIF(LAM!$C$5:$C$18,C27,LAM!$E$5:$E$18)+SUMIF(DEP!$C$4:$C$55,C27,DEP!$E$4:$E$55)</f>
        <v>20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ht="13.5" customHeight="1">
      <c r="A28" s="35"/>
      <c r="B28" s="107">
        <v>8.0</v>
      </c>
      <c r="C28" s="40" t="s">
        <v>142</v>
      </c>
      <c r="D28" s="288">
        <f t="shared" si="2"/>
        <v>4</v>
      </c>
      <c r="E28" s="243">
        <f>COUNTIF(LCB!$C$4:$C$40,C28)</f>
        <v>0</v>
      </c>
      <c r="F28" s="243">
        <f>COUNTIF(LM!$C$4:$C$144,C28)</f>
        <v>4</v>
      </c>
      <c r="G28" s="243">
        <f>COUNTIF(LO!$C$4:$C$227,C28)</f>
        <v>0</v>
      </c>
      <c r="H28" s="243">
        <f>COUNTIF(LE!$C$4:$C$214,C28)</f>
        <v>0</v>
      </c>
      <c r="I28" s="289">
        <f>COUNTIF(LN!$C$4:$C$53,C28)</f>
        <v>0</v>
      </c>
      <c r="J28" s="289">
        <f>COUNTIF(LCE!$C$3:$C$43,C28)</f>
        <v>0</v>
      </c>
      <c r="K28" s="289">
        <f>COUNTIF(LI!$C$4:$C$60,C28)</f>
        <v>0</v>
      </c>
      <c r="L28" s="289">
        <f>COUNTIF(LAP!$C$5:$C$45,C28)</f>
        <v>0</v>
      </c>
      <c r="M28" s="289">
        <f>COUNTIF(LGDM!$C$4:$C$22,C28)</f>
        <v>0</v>
      </c>
      <c r="N28" s="289">
        <f>COUNTIF(LAM!$C$5:$C$21,C28)</f>
        <v>0</v>
      </c>
      <c r="O28" s="243">
        <f>COUNTIF(DEP!$C$3:$C$61,C28)</f>
        <v>0</v>
      </c>
      <c r="P28" s="291">
        <f>SUMIF(LCB!$C$4:$C$45,C28,LCB!$F$4:$F$45)+SUMIF(LM!$C$4:$C$140,C28,LM!$F$4:$F$140)+SUMIF(LO!$C$4:$C$230,C28,LO!$F$4:$F$230)+SUMIF(LE!$C$4:$C$200,C28,LE!$F$4:$F$200)+SUMIF(LN!$C$4:$C$48,C28,LN!$F$4:$F$48)+SUMIF(LCE!$C$4:$C$40,C28,LCE!$F$4:$F$40)+SUMIF(LI!$C$4:$C$55,C28,LI!$F$4:$F$55)+SUMIF(LAP!$C$4:$C$45,C28,LAP!$F$4:$F$45)+SUMIF(LGDM!$C$4:$C$22,C28,LGDM!$F$4:$F$22)+SUMIF(LAM!$C$4:$C$18,C28,LAM!$F$4:$F$18)+SUMIF(DEP!$C$4:$C$55,C28,DEP!$F$4:$F$55)</f>
        <v>114</v>
      </c>
      <c r="Q28" s="243">
        <f>SUMIF(LCB!$C$4:$C$45,C28,LCB!$E$4:$E$45)+SUMIF(LM!$C$4:$C$140,C28,LM!$E$4:$E$140)+SUMIF(LO!$C$4:$C$230,C28,LO!$E$4:$E$230)+SUMIF(LE!$C$4:$C$200,C28,LE!$E$4:$E$200)+SUMIF(LN!$C$4:$C$48,C28,LN!$E$4:$E$48)+SUMIF(LCE!$C$4:$C$40,C28,LCE!$E$4:$E$40)+SUMIF(LI!$C$4:$C$55,C28,LI!$E$4:$E$55)+SUMIF(LAP!$C$4:$C$45,C28,LAP!$E$4:$E$45)+SUMIF(LGDM!$C$4:$C$15,C28,LGDM!$E$4:$E$15)+SUMIF(LAM!$C$5:$C$18,C28,LAM!$E$5:$E$18)+SUMIF(DEP!$C$4:$C$55,C28,DEP!$E$4:$E$55)</f>
        <v>22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ht="13.5" customHeight="1">
      <c r="A29" s="35"/>
      <c r="B29" s="107">
        <v>9.0</v>
      </c>
      <c r="C29" s="1" t="s">
        <v>103</v>
      </c>
      <c r="D29" s="288">
        <f t="shared" si="2"/>
        <v>5</v>
      </c>
      <c r="E29" s="243">
        <f>COUNTIF(LCB!$C$4:$C$40,C29)</f>
        <v>0</v>
      </c>
      <c r="F29" s="243">
        <f>COUNTIF(LM!$C$4:$C$144,C29)</f>
        <v>1</v>
      </c>
      <c r="G29" s="243">
        <f>COUNTIF(LO!$C$4:$C$227,C29)</f>
        <v>4</v>
      </c>
      <c r="H29" s="243">
        <f>COUNTIF(LE!$C$4:$C$214,C29)</f>
        <v>0</v>
      </c>
      <c r="I29" s="289">
        <f>COUNTIF(LN!$C$4:$C$53,C29)</f>
        <v>0</v>
      </c>
      <c r="J29" s="289">
        <f>COUNTIF(LCE!$C$3:$C$43,C29)</f>
        <v>0</v>
      </c>
      <c r="K29" s="289">
        <f>COUNTIF(LI!$C$4:$C$60,C29)</f>
        <v>0</v>
      </c>
      <c r="L29" s="289">
        <f>COUNTIF(LAP!$C$5:$C$45,C29)</f>
        <v>0</v>
      </c>
      <c r="M29" s="289">
        <f>COUNTIF(LGDM!$C$4:$C$22,C29)</f>
        <v>0</v>
      </c>
      <c r="N29" s="289">
        <f>COUNTIF(LAM!$C$5:$C$21,C29)</f>
        <v>0</v>
      </c>
      <c r="O29" s="243">
        <f>COUNTIF(DEP!$C$3:$C$61,C29)</f>
        <v>0</v>
      </c>
      <c r="P29" s="291">
        <f>SUMIF(LCB!$C$4:$C$45,C29,LCB!$F$4:$F$45)+SUMIF(LM!$C$4:$C$140,C29,LM!$F$4:$F$140)+SUMIF(LO!$C$4:$C$230,C29,LO!$F$4:$F$230)+SUMIF(LE!$C$4:$C$200,C29,LE!$F$4:$F$200)+SUMIF(LN!$C$4:$C$48,C29,LN!$F$4:$F$48)+SUMIF(LCE!$C$4:$C$40,C29,LCE!$F$4:$F$40)+SUMIF(LI!$C$4:$C$55,C29,LI!$F$4:$F$55)+SUMIF(LAP!$C$4:$C$45,C29,LAP!$F$4:$F$45)+SUMIF(LGDM!$C$4:$C$22,C29,LGDM!$F$4:$F$22)+SUMIF(LAM!$C$4:$C$18,C29,LAM!$F$4:$F$18)+SUMIF(DEP!$C$4:$C$55,C29,DEP!$F$4:$F$55)</f>
        <v>38</v>
      </c>
      <c r="Q29" s="243">
        <f>SUMIF(LCB!$C$4:$C$45,C29,LCB!$E$4:$E$45)+SUMIF(LM!$C$4:$C$140,C29,LM!$E$4:$E$140)+SUMIF(LO!$C$4:$C$230,C29,LO!$E$4:$E$230)+SUMIF(LE!$C$4:$C$200,C29,LE!$E$4:$E$200)+SUMIF(LN!$C$4:$C$48,C29,LN!$E$4:$E$48)+SUMIF(LCE!$C$4:$C$40,C29,LCE!$E$4:$E$40)+SUMIF(LI!$C$4:$C$55,C29,LI!$E$4:$E$55)+SUMIF(LAP!$C$4:$C$45,C29,LAP!$E$4:$E$45)+SUMIF(LGDM!$C$4:$C$15,C29,LGDM!$E$4:$E$15)+SUMIF(LAM!$C$5:$C$18,C29,LAM!$E$5:$E$18)+SUMIF(DEP!$C$4:$C$55,C29,DEP!$E$4:$E$55)</f>
        <v>29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ht="13.5" customHeight="1">
      <c r="A30" s="35"/>
      <c r="B30" s="107">
        <v>10.0</v>
      </c>
      <c r="C30" s="1" t="s">
        <v>66</v>
      </c>
      <c r="D30" s="288">
        <f t="shared" si="2"/>
        <v>5</v>
      </c>
      <c r="E30" s="243">
        <f>COUNTIF(LCB!$C$4:$C$40,C30)</f>
        <v>0</v>
      </c>
      <c r="F30" s="243">
        <f>COUNTIF(LM!$C$4:$C$144,C30)</f>
        <v>5</v>
      </c>
      <c r="G30" s="243">
        <f>COUNTIF(LO!$C$4:$C$227,C30)</f>
        <v>0</v>
      </c>
      <c r="H30" s="243">
        <f>COUNTIF(LE!$C$4:$C$214,C30)</f>
        <v>0</v>
      </c>
      <c r="I30" s="289">
        <f>COUNTIF(LN!$C$4:$C$53,C30)</f>
        <v>0</v>
      </c>
      <c r="J30" s="289">
        <f>COUNTIF(LCE!$C$3:$C$43,C30)</f>
        <v>0</v>
      </c>
      <c r="K30" s="289">
        <f>COUNTIF(LI!$C$4:$C$60,C30)</f>
        <v>0</v>
      </c>
      <c r="L30" s="289">
        <f>COUNTIF(LAP!$C$5:$C$45,C30)</f>
        <v>0</v>
      </c>
      <c r="M30" s="289">
        <f>COUNTIF(LGDM!$C$4:$C$22,C30)</f>
        <v>0</v>
      </c>
      <c r="N30" s="289">
        <f>COUNTIF(LAM!$C$5:$C$21,C30)</f>
        <v>0</v>
      </c>
      <c r="O30" s="243">
        <f>COUNTIF(DEP!$C$3:$C$61,C30)</f>
        <v>0</v>
      </c>
      <c r="P30" s="291">
        <f>SUMIF(LCB!$C$4:$C$45,C30,LCB!$F$4:$F$45)+SUMIF(LM!$C$4:$C$140,C30,LM!$F$4:$F$140)+SUMIF(LO!$C$4:$C$230,C30,LO!$F$4:$F$230)+SUMIF(LE!$C$4:$C$200,C30,LE!$F$4:$F$200)+SUMIF(LN!$C$4:$C$48,C30,LN!$F$4:$F$48)+SUMIF(LCE!$C$4:$C$40,C30,LCE!$F$4:$F$40)+SUMIF(LI!$C$4:$C$55,C30,LI!$F$4:$F$55)+SUMIF(LAP!$C$4:$C$45,C30,LAP!$F$4:$F$45)+SUMIF(LGDM!$C$4:$C$22,C30,LGDM!$F$4:$F$22)+SUMIF(LAM!$C$4:$C$18,C30,LAM!$F$4:$F$18)+SUMIF(DEP!$C$4:$C$55,C30,DEP!$F$4:$F$55)</f>
        <v>181</v>
      </c>
      <c r="Q30" s="243">
        <f>SUMIF(LCB!$C$4:$C$45,C30,LCB!$E$4:$E$45)+SUMIF(LM!$C$4:$C$140,C30,LM!$E$4:$E$140)+SUMIF(LO!$C$4:$C$230,C30,LO!$E$4:$E$230)+SUMIF(LE!$C$4:$C$200,C30,LE!$E$4:$E$200)+SUMIF(LN!$C$4:$C$48,C30,LN!$E$4:$E$48)+SUMIF(LCE!$C$4:$C$40,C30,LCE!$E$4:$E$40)+SUMIF(LI!$C$4:$C$55,C30,LI!$E$4:$E$55)+SUMIF(LAP!$C$4:$C$45,C30,LAP!$E$4:$E$45)+SUMIF(LGDM!$C$4:$C$15,C30,LGDM!$E$4:$E$15)+SUMIF(LAM!$C$5:$C$18,C30,LAM!$E$5:$E$18)+SUMIF(DEP!$C$4:$C$55,C30,DEP!$E$4:$E$55)</f>
        <v>22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ht="13.5" customHeight="1">
      <c r="A31" s="35"/>
      <c r="B31" s="107">
        <v>11.0</v>
      </c>
      <c r="C31" s="1" t="s">
        <v>147</v>
      </c>
      <c r="D31" s="288">
        <f t="shared" si="2"/>
        <v>5</v>
      </c>
      <c r="E31" s="243">
        <f>COUNTIF(LCB!$C$4:$C$40,C31)</f>
        <v>0</v>
      </c>
      <c r="F31" s="243">
        <f>COUNTIF(LM!$C$4:$C$144,C31)</f>
        <v>0</v>
      </c>
      <c r="G31" s="243">
        <f>COUNTIF(LO!$C$4:$C$227,C31)</f>
        <v>2</v>
      </c>
      <c r="H31" s="243">
        <f>COUNTIF(LE!$C$4:$C$214,C31)</f>
        <v>3</v>
      </c>
      <c r="I31" s="289">
        <f>COUNTIF(LN!$C$4:$C$53,C31)</f>
        <v>0</v>
      </c>
      <c r="J31" s="289">
        <f>COUNTIF(LCE!$C$3:$C$43,C31)</f>
        <v>0</v>
      </c>
      <c r="K31" s="289">
        <f>COUNTIF(LI!$C$4:$C$60,C31)</f>
        <v>0</v>
      </c>
      <c r="L31" s="289">
        <f>COUNTIF(LAP!$C$5:$C$45,C31)</f>
        <v>0</v>
      </c>
      <c r="M31" s="289">
        <f>COUNTIF(LGDM!$C$4:$C$22,C31)</f>
        <v>0</v>
      </c>
      <c r="N31" s="289">
        <f>COUNTIF(LAM!$C$5:$C$21,C31)</f>
        <v>0</v>
      </c>
      <c r="O31" s="243">
        <f>COUNTIF(DEP!$C$3:$C$61,C31)</f>
        <v>0</v>
      </c>
      <c r="P31" s="291">
        <f>SUMIF(LCB!$C$4:$C$45,C31,LCB!$F$4:$F$45)+SUMIF(LM!$C$4:$C$140,C31,LM!$F$4:$F$140)+SUMIF(LO!$C$4:$C$230,C31,LO!$F$4:$F$230)+SUMIF(LE!$C$4:$C$200,C31,LE!$F$4:$F$200)+SUMIF(LN!$C$4:$C$48,C31,LN!$F$4:$F$48)+SUMIF(LCE!$C$4:$C$40,C31,LCE!$F$4:$F$40)+SUMIF(LI!$C$4:$C$55,C31,LI!$F$4:$F$55)+SUMIF(LAP!$C$4:$C$45,C31,LAP!$F$4:$F$45)+SUMIF(LGDM!$C$4:$C$22,C31,LGDM!$F$4:$F$22)+SUMIF(LAM!$C$4:$C$18,C31,LAM!$F$4:$F$18)+SUMIF(DEP!$C$4:$C$55,C31,DEP!$F$4:$F$55)</f>
        <v>92</v>
      </c>
      <c r="Q31" s="243">
        <f>SUMIF(LCB!$C$4:$C$45,C31,LCB!$E$4:$E$45)+SUMIF(LM!$C$4:$C$140,C31,LM!$E$4:$E$140)+SUMIF(LO!$C$4:$C$230,C31,LO!$E$4:$E$230)+SUMIF(LE!$C$4:$C$200,C31,LE!$E$4:$E$200)+SUMIF(LN!$C$4:$C$48,C31,LN!$E$4:$E$48)+SUMIF(LCE!$C$4:$C$40,C31,LCE!$E$4:$E$40)+SUMIF(LI!$C$4:$C$55,C31,LI!$E$4:$E$55)+SUMIF(LAP!$C$4:$C$45,C31,LAP!$E$4:$E$45)+SUMIF(LGDM!$C$4:$C$15,C31,LGDM!$E$4:$E$15)+SUMIF(LAM!$C$5:$C$18,C31,LAM!$E$5:$E$18)+SUMIF(DEP!$C$4:$C$55,C31,DEP!$E$4:$E$55)</f>
        <v>27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ht="13.5" customHeight="1">
      <c r="A32" s="35"/>
      <c r="B32" s="107">
        <v>12.0</v>
      </c>
      <c r="C32" s="33" t="s">
        <v>172</v>
      </c>
      <c r="D32" s="288">
        <f t="shared" si="2"/>
        <v>5</v>
      </c>
      <c r="E32" s="243">
        <f>COUNTIF(LCB!$C$4:$C$40,C32)</f>
        <v>0</v>
      </c>
      <c r="F32" s="243">
        <f>COUNTIF(LM!$C$4:$C$144,C32)</f>
        <v>5</v>
      </c>
      <c r="G32" s="243">
        <f>COUNTIF(LO!$C$4:$C$227,C32)</f>
        <v>0</v>
      </c>
      <c r="H32" s="243">
        <f>COUNTIF(LE!$C$4:$C$214,C32)</f>
        <v>0</v>
      </c>
      <c r="I32" s="289">
        <f>COUNTIF(LN!$C$4:$C$53,C32)</f>
        <v>0</v>
      </c>
      <c r="J32" s="289">
        <f>COUNTIF(LCE!$C$3:$C$43,C32)</f>
        <v>0</v>
      </c>
      <c r="K32" s="289">
        <f>COUNTIF(LI!$C$4:$C$60,C32)</f>
        <v>0</v>
      </c>
      <c r="L32" s="289">
        <f>COUNTIF(LAP!$C$5:$C$45,C32)</f>
        <v>0</v>
      </c>
      <c r="M32" s="289">
        <f>COUNTIF(LGDM!$C$4:$C$22,C32)</f>
        <v>0</v>
      </c>
      <c r="N32" s="289">
        <f>COUNTIF(LAM!$C$5:$C$21,C32)</f>
        <v>0</v>
      </c>
      <c r="O32" s="243">
        <f>COUNTIF(DEP!$C$3:$C$61,C32)</f>
        <v>0</v>
      </c>
      <c r="P32" s="291">
        <f>SUMIF(LCB!$C$4:$C$45,C32,LCB!$F$4:$F$45)+SUMIF(LM!$C$4:$C$140,C32,LM!$F$4:$F$140)+SUMIF(LO!$C$4:$C$230,C32,LO!$F$4:$F$230)+SUMIF(LE!$C$4:$C$200,C32,LE!$F$4:$F$200)+SUMIF(LN!$C$4:$C$48,C32,LN!$F$4:$F$48)+SUMIF(LCE!$C$4:$C$40,C32,LCE!$F$4:$F$40)+SUMIF(LI!$C$4:$C$55,C32,LI!$F$4:$F$55)+SUMIF(LAP!$C$4:$C$45,C32,LAP!$F$4:$F$45)+SUMIF(LGDM!$C$4:$C$22,C32,LGDM!$F$4:$F$22)+SUMIF(LAM!$C$4:$C$18,C32,LAM!$F$4:$F$18)+SUMIF(DEP!$C$4:$C$55,C32,DEP!$F$4:$F$55)</f>
        <v>203</v>
      </c>
      <c r="Q32" s="243">
        <f>SUMIF(LCB!$C$4:$C$45,C32,LCB!$E$4:$E$45)+SUMIF(LM!$C$4:$C$140,C32,LM!$E$4:$E$140)+SUMIF(LO!$C$4:$C$230,C32,LO!$E$4:$E$230)+SUMIF(LE!$C$4:$C$200,C32,LE!$E$4:$E$200)+SUMIF(LN!$C$4:$C$48,C32,LN!$E$4:$E$48)+SUMIF(LCE!$C$4:$C$40,C32,LCE!$E$4:$E$40)+SUMIF(LI!$C$4:$C$55,C32,LI!$E$4:$E$55)+SUMIF(LAP!$C$4:$C$45,C32,LAP!$E$4:$E$45)+SUMIF(LGDM!$C$4:$C$15,C32,LGDM!$E$4:$E$15)+SUMIF(LAM!$C$5:$C$18,C32,LAM!$E$5:$E$18)+SUMIF(DEP!$C$4:$C$55,C32,DEP!$E$4:$E$55)</f>
        <v>27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ht="13.5" customHeight="1">
      <c r="A33" s="35"/>
      <c r="B33" s="107">
        <v>13.0</v>
      </c>
      <c r="C33" s="1" t="s">
        <v>19</v>
      </c>
      <c r="D33" s="288">
        <f t="shared" si="2"/>
        <v>5</v>
      </c>
      <c r="E33" s="243">
        <f>COUNTIF(LCB!$C$4:$C$40,C33)</f>
        <v>0</v>
      </c>
      <c r="F33" s="243">
        <f>COUNTIF(LM!$C$4:$C$144,C33)</f>
        <v>1</v>
      </c>
      <c r="G33" s="243">
        <f>COUNTIF(LO!$C$4:$C$227,C33)</f>
        <v>4</v>
      </c>
      <c r="H33" s="243">
        <f>COUNTIF(LE!$C$4:$C$214,C33)</f>
        <v>0</v>
      </c>
      <c r="I33" s="289">
        <f>COUNTIF(LN!$C$4:$C$53,C33)</f>
        <v>0</v>
      </c>
      <c r="J33" s="289">
        <f>COUNTIF(LCE!$C$3:$C$43,C33)</f>
        <v>0</v>
      </c>
      <c r="K33" s="289">
        <f>COUNTIF(LI!$C$4:$C$60,C33)</f>
        <v>0</v>
      </c>
      <c r="L33" s="289">
        <f>COUNTIF(LAP!$C$5:$C$45,C33)</f>
        <v>0</v>
      </c>
      <c r="M33" s="289">
        <f>COUNTIF(LGDM!$C$4:$C$22,C33)</f>
        <v>0</v>
      </c>
      <c r="N33" s="289">
        <f>COUNTIF(LAM!$C$5:$C$21,C33)</f>
        <v>0</v>
      </c>
      <c r="O33" s="243">
        <f>COUNTIF(DEP!$C$3:$C$61,C33)</f>
        <v>0</v>
      </c>
      <c r="P33" s="291">
        <f>SUMIF(LCB!$C$4:$C$45,C33,LCB!$F$4:$F$45)+SUMIF(LM!$C$4:$C$140,C33,LM!$F$4:$F$140)+SUMIF(LO!$C$4:$C$230,C33,LO!$F$4:$F$230)+SUMIF(LE!$C$4:$C$200,C33,LE!$F$4:$F$200)+SUMIF(LN!$C$4:$C$48,C33,LN!$F$4:$F$48)+SUMIF(LCE!$C$4:$C$40,C33,LCE!$F$4:$F$40)+SUMIF(LI!$C$4:$C$55,C33,LI!$F$4:$F$55)+SUMIF(LAP!$C$4:$C$45,C33,LAP!$F$4:$F$45)+SUMIF(LGDM!$C$4:$C$22,C33,LGDM!$F$4:$F$22)+SUMIF(LAM!$C$4:$C$18,C33,LAM!$F$4:$F$18)+SUMIF(DEP!$C$4:$C$55,C33,DEP!$F$4:$F$55)</f>
        <v>37</v>
      </c>
      <c r="Q33" s="243">
        <f>SUMIF(LCB!$C$4:$C$45,C33,LCB!$E$4:$E$45)+SUMIF(LM!$C$4:$C$140,C33,LM!$E$4:$E$140)+SUMIF(LO!$C$4:$C$230,C33,LO!$E$4:$E$230)+SUMIF(LE!$C$4:$C$200,C33,LE!$E$4:$E$200)+SUMIF(LN!$C$4:$C$48,C33,LN!$E$4:$E$48)+SUMIF(LCE!$C$4:$C$40,C33,LCE!$E$4:$E$40)+SUMIF(LI!$C$4:$C$55,C33,LI!$E$4:$E$55)+SUMIF(LAP!$C$4:$C$45,C33,LAP!$E$4:$E$45)+SUMIF(LGDM!$C$4:$C$15,C33,LGDM!$E$4:$E$15)+SUMIF(LAM!$C$5:$C$18,C33,LAM!$E$5:$E$18)+SUMIF(DEP!$C$4:$C$55,C33,DEP!$E$4:$E$55)</f>
        <v>29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ht="13.5" customHeight="1">
      <c r="A34" s="35"/>
      <c r="B34" s="107">
        <v>14.0</v>
      </c>
      <c r="C34" s="1" t="s">
        <v>96</v>
      </c>
      <c r="D34" s="288">
        <f t="shared" si="2"/>
        <v>5</v>
      </c>
      <c r="E34" s="243">
        <f>COUNTIF(LCB!$C$4:$C$40,C34)</f>
        <v>0</v>
      </c>
      <c r="F34" s="243">
        <f>COUNTIF(LM!$C$4:$C$144,C34)</f>
        <v>5</v>
      </c>
      <c r="G34" s="243">
        <f>COUNTIF(LO!$C$4:$C$227,C34)</f>
        <v>0</v>
      </c>
      <c r="H34" s="243">
        <f>COUNTIF(LE!$C$4:$C$214,C34)</f>
        <v>0</v>
      </c>
      <c r="I34" s="289">
        <f>COUNTIF(LN!$C$4:$C$53,C34)</f>
        <v>0</v>
      </c>
      <c r="J34" s="289">
        <f>COUNTIF(LCE!$C$3:$C$43,C34)</f>
        <v>0</v>
      </c>
      <c r="K34" s="289">
        <f>COUNTIF(LI!$C$4:$C$60,C34)</f>
        <v>0</v>
      </c>
      <c r="L34" s="289">
        <f>COUNTIF(LAP!$C$5:$C$45,C34)</f>
        <v>0</v>
      </c>
      <c r="M34" s="289">
        <f>COUNTIF(LGDM!$C$4:$C$22,C34)</f>
        <v>0</v>
      </c>
      <c r="N34" s="289">
        <f>COUNTIF(LAM!$C$5:$C$21,C34)</f>
        <v>0</v>
      </c>
      <c r="O34" s="243">
        <f>COUNTIF(DEP!$C$3:$C$61,C34)</f>
        <v>0</v>
      </c>
      <c r="P34" s="291">
        <f>SUMIF(LCB!$C$4:$C$45,C34,LCB!$F$4:$F$45)+SUMIF(LM!$C$4:$C$140,C34,LM!$F$4:$F$140)+SUMIF(LO!$C$4:$C$230,C34,LO!$F$4:$F$230)+SUMIF(LE!$C$4:$C$200,C34,LE!$F$4:$F$200)+SUMIF(LN!$C$4:$C$48,C34,LN!$F$4:$F$48)+SUMIF(LCE!$C$4:$C$40,C34,LCE!$F$4:$F$40)+SUMIF(LI!$C$4:$C$55,C34,LI!$F$4:$F$55)+SUMIF(LAP!$C$4:$C$45,C34,LAP!$F$4:$F$45)+SUMIF(LGDM!$C$4:$C$22,C34,LGDM!$F$4:$F$22)+SUMIF(LAM!$C$4:$C$18,C34,LAM!$F$4:$F$18)+SUMIF(DEP!$C$4:$C$55,C34,DEP!$F$4:$F$55)</f>
        <v>198</v>
      </c>
      <c r="Q34" s="243">
        <f>SUMIF(LCB!$C$4:$C$45,C34,LCB!$E$4:$E$45)+SUMIF(LM!$C$4:$C$140,C34,LM!$E$4:$E$140)+SUMIF(LO!$C$4:$C$230,C34,LO!$E$4:$E$230)+SUMIF(LE!$C$4:$C$200,C34,LE!$E$4:$E$200)+SUMIF(LN!$C$4:$C$48,C34,LN!$E$4:$E$48)+SUMIF(LCE!$C$4:$C$40,C34,LCE!$E$4:$E$40)+SUMIF(LI!$C$4:$C$55,C34,LI!$E$4:$E$55)+SUMIF(LAP!$C$4:$C$45,C34,LAP!$E$4:$E$45)+SUMIF(LGDM!$C$4:$C$15,C34,LGDM!$E$4:$E$15)+SUMIF(LAM!$C$5:$C$18,C34,LAM!$E$5:$E$18)+SUMIF(DEP!$C$4:$C$55,C34,DEP!$E$4:$E$55)</f>
        <v>25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ht="13.5" customHeight="1">
      <c r="A35" s="35"/>
      <c r="B35" s="107">
        <v>15.0</v>
      </c>
      <c r="C35" s="31" t="s">
        <v>134</v>
      </c>
      <c r="D35" s="288">
        <f t="shared" si="2"/>
        <v>5</v>
      </c>
      <c r="E35" s="243">
        <f>COUNTIF(LCB!$C$4:$C$40,C35)</f>
        <v>0</v>
      </c>
      <c r="F35" s="243">
        <f>COUNTIF(LM!$C$4:$C$144,C35)</f>
        <v>3</v>
      </c>
      <c r="G35" s="243">
        <f>COUNTIF(LO!$C$4:$C$227,C35)</f>
        <v>0</v>
      </c>
      <c r="H35" s="243">
        <f>COUNTIF(LE!$C$4:$C$214,C35)</f>
        <v>2</v>
      </c>
      <c r="I35" s="289">
        <f>COUNTIF(LN!$C$4:$C$53,C35)</f>
        <v>0</v>
      </c>
      <c r="J35" s="289">
        <f>COUNTIF(LCE!$C$3:$C$43,C35)</f>
        <v>0</v>
      </c>
      <c r="K35" s="289">
        <f>COUNTIF(LI!$C$4:$C$60,C35)</f>
        <v>0</v>
      </c>
      <c r="L35" s="289">
        <f>COUNTIF(LAP!$C$5:$C$45,C35)</f>
        <v>0</v>
      </c>
      <c r="M35" s="289">
        <f>COUNTIF(LGDM!$C$4:$C$22,C35)</f>
        <v>0</v>
      </c>
      <c r="N35" s="289">
        <f>COUNTIF(LAM!$C$5:$C$21,C35)</f>
        <v>0</v>
      </c>
      <c r="O35" s="243">
        <f>COUNTIF(DEP!$C$3:$C$61,C35)</f>
        <v>0</v>
      </c>
      <c r="P35" s="291">
        <f>SUMIF(LCB!$C$4:$C$45,C35,LCB!$F$4:$F$45)+SUMIF(LM!$C$4:$C$140,C35,LM!$F$4:$F$140)+SUMIF(LO!$C$4:$C$230,C35,LO!$F$4:$F$230)+SUMIF(LE!$C$4:$C$200,C35,LE!$F$4:$F$200)+SUMIF(LN!$C$4:$C$48,C35,LN!$F$4:$F$48)+SUMIF(LCE!$C$4:$C$40,C35,LCE!$F$4:$F$40)+SUMIF(LI!$C$4:$C$55,C35,LI!$F$4:$F$55)+SUMIF(LAP!$C$4:$C$45,C35,LAP!$F$4:$F$45)+SUMIF(LGDM!$C$4:$C$22,C35,LGDM!$F$4:$F$22)+SUMIF(LAM!$C$4:$C$18,C35,LAM!$F$4:$F$18)+SUMIF(DEP!$C$4:$C$55,C35,DEP!$F$4:$F$55)</f>
        <v>182</v>
      </c>
      <c r="Q35" s="243">
        <f>SUMIF(LCB!$C$4:$C$45,C35,LCB!$E$4:$E$45)+SUMIF(LM!$C$4:$C$140,C35,LM!$E$4:$E$140)+SUMIF(LO!$C$4:$C$230,C35,LO!$E$4:$E$230)+SUMIF(LE!$C$4:$C$200,C35,LE!$E$4:$E$200)+SUMIF(LN!$C$4:$C$48,C35,LN!$E$4:$E$48)+SUMIF(LCE!$C$4:$C$40,C35,LCE!$E$4:$E$40)+SUMIF(LI!$C$4:$C$55,C35,LI!$E$4:$E$55)+SUMIF(LAP!$C$4:$C$45,C35,LAP!$E$4:$E$45)+SUMIF(LGDM!$C$4:$C$15,C35,LGDM!$E$4:$E$15)+SUMIF(LAM!$C$5:$C$18,C35,LAM!$E$5:$E$18)+SUMIF(DEP!$C$4:$C$55,C35,DEP!$E$4:$E$55)</f>
        <v>28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ht="13.5" customHeight="1">
      <c r="A36" s="35"/>
      <c r="B36" s="107">
        <v>16.0</v>
      </c>
      <c r="C36" s="31" t="s">
        <v>174</v>
      </c>
      <c r="D36" s="288">
        <f t="shared" si="2"/>
        <v>5</v>
      </c>
      <c r="E36" s="243">
        <f>COUNTIF(LCB!$C$4:$C$40,C36)</f>
        <v>0</v>
      </c>
      <c r="F36" s="243">
        <f>COUNTIF(LM!$C$4:$C$144,C36)</f>
        <v>2</v>
      </c>
      <c r="G36" s="243">
        <f>COUNTIF(LO!$C$4:$C$227,C36)</f>
        <v>3</v>
      </c>
      <c r="H36" s="243">
        <f>COUNTIF(LE!$C$4:$C$214,C36)</f>
        <v>0</v>
      </c>
      <c r="I36" s="289">
        <f>COUNTIF(LN!$C$4:$C$53,C36)</f>
        <v>0</v>
      </c>
      <c r="J36" s="289">
        <f>COUNTIF(LCE!$C$3:$C$43,C36)</f>
        <v>0</v>
      </c>
      <c r="K36" s="289">
        <f>COUNTIF(LI!$C$4:$C$60,C36)</f>
        <v>0</v>
      </c>
      <c r="L36" s="289">
        <f>COUNTIF(LAP!$C$5:$C$45,C36)</f>
        <v>0</v>
      </c>
      <c r="M36" s="289">
        <f>COUNTIF(LGDM!$C$4:$C$22,C36)</f>
        <v>0</v>
      </c>
      <c r="N36" s="289">
        <f>COUNTIF(LAM!$C$5:$C$21,C36)</f>
        <v>0</v>
      </c>
      <c r="O36" s="243">
        <f>COUNTIF(DEP!$C$3:$C$61,C36)</f>
        <v>0</v>
      </c>
      <c r="P36" s="291">
        <f>SUMIF(LCB!$C$4:$C$45,C36,LCB!$F$4:$F$45)+SUMIF(LM!$C$4:$C$140,C36,LM!$F$4:$F$140)+SUMIF(LO!$C$4:$C$230,C36,LO!$F$4:$F$230)+SUMIF(LE!$C$4:$C$200,C36,LE!$F$4:$F$200)+SUMIF(LN!$C$4:$C$48,C36,LN!$F$4:$F$48)+SUMIF(LCE!$C$4:$C$40,C36,LCE!$F$4:$F$40)+SUMIF(LI!$C$4:$C$55,C36,LI!$F$4:$F$55)+SUMIF(LAP!$C$4:$C$45,C36,LAP!$F$4:$F$45)+SUMIF(LGDM!$C$4:$C$22,C36,LGDM!$F$4:$F$22)+SUMIF(LAM!$C$4:$C$18,C36,LAM!$F$4:$F$18)+SUMIF(DEP!$C$4:$C$55,C36,DEP!$F$4:$F$55)</f>
        <v>212</v>
      </c>
      <c r="Q36" s="243">
        <f>SUMIF(LCB!$C$4:$C$45,C36,LCB!$E$4:$E$45)+SUMIF(LM!$C$4:$C$140,C36,LM!$E$4:$E$140)+SUMIF(LO!$C$4:$C$230,C36,LO!$E$4:$E$230)+SUMIF(LE!$C$4:$C$200,C36,LE!$E$4:$E$200)+SUMIF(LN!$C$4:$C$48,C36,LN!$E$4:$E$48)+SUMIF(LCE!$C$4:$C$40,C36,LCE!$E$4:$E$40)+SUMIF(LI!$C$4:$C$55,C36,LI!$E$4:$E$55)+SUMIF(LAP!$C$4:$C$45,C36,LAP!$E$4:$E$45)+SUMIF(LGDM!$C$4:$C$15,C36,LGDM!$E$4:$E$15)+SUMIF(LAM!$C$5:$C$18,C36,LAM!$E$5:$E$18)+SUMIF(DEP!$C$4:$C$55,C36,DEP!$E$4:$E$55)</f>
        <v>25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ht="13.5" customHeight="1">
      <c r="A37" s="35"/>
      <c r="B37" s="107">
        <v>17.0</v>
      </c>
      <c r="C37" s="31" t="s">
        <v>13</v>
      </c>
      <c r="D37" s="288">
        <f t="shared" si="2"/>
        <v>5</v>
      </c>
      <c r="E37" s="243">
        <f>COUNTIF(LCB!$C$4:$C$40,C37)</f>
        <v>2</v>
      </c>
      <c r="F37" s="243">
        <f>COUNTIF(LM!$C$4:$C$144,C37)</f>
        <v>3</v>
      </c>
      <c r="G37" s="243">
        <f>COUNTIF(LO!$C$4:$C$227,C37)</f>
        <v>0</v>
      </c>
      <c r="H37" s="243">
        <f>COUNTIF(LE!$C$4:$C$214,C37)</f>
        <v>0</v>
      </c>
      <c r="I37" s="289">
        <f>COUNTIF(LN!$C$4:$C$53,C37)</f>
        <v>0</v>
      </c>
      <c r="J37" s="289">
        <f>COUNTIF(LCE!$C$3:$C$43,C37)</f>
        <v>0</v>
      </c>
      <c r="K37" s="289">
        <f>COUNTIF(LI!$C$4:$C$60,C37)</f>
        <v>0</v>
      </c>
      <c r="L37" s="289">
        <f>COUNTIF(LAP!$C$5:$C$45,C37)</f>
        <v>0</v>
      </c>
      <c r="M37" s="289">
        <f>COUNTIF(LGDM!$C$4:$C$22,C37)</f>
        <v>0</v>
      </c>
      <c r="N37" s="289">
        <f>COUNTIF(LAM!$C$5:$C$21,C37)</f>
        <v>0</v>
      </c>
      <c r="O37" s="243">
        <f>COUNTIF(DEP!$C$3:$C$61,C37)</f>
        <v>0</v>
      </c>
      <c r="P37" s="291">
        <f>SUMIF(LCB!$C$4:$C$45,C37,LCB!$F$4:$F$45)+SUMIF(LM!$C$4:$C$140,C37,LM!$F$4:$F$140)+SUMIF(LO!$C$4:$C$230,C37,LO!$F$4:$F$230)+SUMIF(LE!$C$4:$C$200,C37,LE!$F$4:$F$200)+SUMIF(LN!$C$4:$C$48,C37,LN!$F$4:$F$48)+SUMIF(LCE!$C$4:$C$40,C37,LCE!$F$4:$F$40)+SUMIF(LI!$C$4:$C$55,C37,LI!$F$4:$F$55)+SUMIF(LAP!$C$4:$C$45,C37,LAP!$F$4:$F$45)+SUMIF(LGDM!$C$4:$C$22,C37,LGDM!$F$4:$F$22)+SUMIF(LAM!$C$4:$C$18,C37,LAM!$F$4:$F$18)+SUMIF(DEP!$C$4:$C$55,C37,DEP!$F$4:$F$55)</f>
        <v>105</v>
      </c>
      <c r="Q37" s="243">
        <f>SUMIF(LCB!$C$4:$C$45,C37,LCB!$E$4:$E$45)+SUMIF(LM!$C$4:$C$140,C37,LM!$E$4:$E$140)+SUMIF(LO!$C$4:$C$230,C37,LO!$E$4:$E$230)+SUMIF(LE!$C$4:$C$200,C37,LE!$E$4:$E$200)+SUMIF(LN!$C$4:$C$48,C37,LN!$E$4:$E$48)+SUMIF(LCE!$C$4:$C$40,C37,LCE!$E$4:$E$40)+SUMIF(LI!$C$4:$C$55,C37,LI!$E$4:$E$55)+SUMIF(LAP!$C$4:$C$45,C37,LAP!$E$4:$E$45)+SUMIF(LGDM!$C$4:$C$15,C37,LGDM!$E$4:$E$15)+SUMIF(LAM!$C$5:$C$18,C37,LAM!$E$5:$E$18)+SUMIF(DEP!$C$4:$C$55,C37,DEP!$E$4:$E$55)</f>
        <v>28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ht="13.5" customHeight="1">
      <c r="A38" s="35"/>
      <c r="B38" s="107">
        <v>18.0</v>
      </c>
      <c r="C38" s="31" t="s">
        <v>202</v>
      </c>
      <c r="D38" s="288">
        <f t="shared" si="2"/>
        <v>5</v>
      </c>
      <c r="E38" s="243">
        <f>COUNTIF(LCB!$C$4:$C$40,C38)</f>
        <v>0</v>
      </c>
      <c r="F38" s="243">
        <f>COUNTIF(LM!$C$4:$C$144,C38)</f>
        <v>1</v>
      </c>
      <c r="G38" s="243">
        <f>COUNTIF(LO!$C$4:$C$227,C38)</f>
        <v>4</v>
      </c>
      <c r="H38" s="243">
        <f>COUNTIF(LE!$C$4:$C$214,C38)</f>
        <v>0</v>
      </c>
      <c r="I38" s="289">
        <f>COUNTIF(LN!$C$4:$C$53,C38)</f>
        <v>0</v>
      </c>
      <c r="J38" s="289">
        <f>COUNTIF(LCE!$C$3:$C$43,C38)</f>
        <v>0</v>
      </c>
      <c r="K38" s="289">
        <f>COUNTIF(LI!$C$4:$C$60,C38)</f>
        <v>0</v>
      </c>
      <c r="L38" s="289">
        <f>COUNTIF(LAP!$C$5:$C$45,C38)</f>
        <v>0</v>
      </c>
      <c r="M38" s="289">
        <f>COUNTIF(LGDM!$C$4:$C$22,C38)</f>
        <v>0</v>
      </c>
      <c r="N38" s="289">
        <f>COUNTIF(LAM!$C$5:$C$21,C38)</f>
        <v>0</v>
      </c>
      <c r="O38" s="243">
        <f>COUNTIF(DEP!$C$3:$C$61,C38)</f>
        <v>0</v>
      </c>
      <c r="P38" s="291">
        <f>SUMIF(LCB!$C$4:$C$45,C38,LCB!$F$4:$F$45)+SUMIF(LM!$C$4:$C$140,C38,LM!$F$4:$F$140)+SUMIF(LO!$C$4:$C$230,C38,LO!$F$4:$F$230)+SUMIF(LE!$C$4:$C$200,C38,LE!$F$4:$F$200)+SUMIF(LN!$C$4:$C$48,C38,LN!$F$4:$F$48)+SUMIF(LCE!$C$4:$C$40,C38,LCE!$F$4:$F$40)+SUMIF(LI!$C$4:$C$55,C38,LI!$F$4:$F$55)+SUMIF(LAP!$C$4:$C$45,C38,LAP!$F$4:$F$45)+SUMIF(LGDM!$C$4:$C$22,C38,LGDM!$F$4:$F$22)+SUMIF(LAM!$C$4:$C$18,C38,LAM!$F$4:$F$18)+SUMIF(DEP!$C$4:$C$55,C38,DEP!$F$4:$F$55)</f>
        <v>206</v>
      </c>
      <c r="Q38" s="243">
        <f>SUMIF(LCB!$C$4:$C$45,C38,LCB!$E$4:$E$45)+SUMIF(LM!$C$4:$C$140,C38,LM!$E$4:$E$140)+SUMIF(LO!$C$4:$C$230,C38,LO!$E$4:$E$230)+SUMIF(LE!$C$4:$C$200,C38,LE!$E$4:$E$200)+SUMIF(LN!$C$4:$C$48,C38,LN!$E$4:$E$48)+SUMIF(LCE!$C$4:$C$40,C38,LCE!$E$4:$E$40)+SUMIF(LI!$C$4:$C$55,C38,LI!$E$4:$E$55)+SUMIF(LAP!$C$4:$C$45,C38,LAP!$E$4:$E$45)+SUMIF(LGDM!$C$4:$C$15,C38,LGDM!$E$4:$E$15)+SUMIF(LAM!$C$5:$C$18,C38,LAM!$E$5:$E$18)+SUMIF(DEP!$C$4:$C$55,C38,DEP!$E$4:$E$55)</f>
        <v>25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ht="13.5" customHeight="1">
      <c r="A39" s="35"/>
      <c r="B39" s="107">
        <v>19.0</v>
      </c>
      <c r="C39" s="31" t="s">
        <v>178</v>
      </c>
      <c r="D39" s="288">
        <f t="shared" si="2"/>
        <v>5</v>
      </c>
      <c r="E39" s="243">
        <f>COUNTIF(LCB!$C$4:$C$40,C39)</f>
        <v>0</v>
      </c>
      <c r="F39" s="243">
        <f>COUNTIF(LM!$C$4:$C$144,C39)</f>
        <v>5</v>
      </c>
      <c r="G39" s="243">
        <f>COUNTIF(LO!$C$4:$C$227,C39)</f>
        <v>0</v>
      </c>
      <c r="H39" s="243">
        <f>COUNTIF(LE!$C$4:$C$214,C39)</f>
        <v>0</v>
      </c>
      <c r="I39" s="289">
        <f>COUNTIF(LN!$C$4:$C$53,C39)</f>
        <v>0</v>
      </c>
      <c r="J39" s="289">
        <f>COUNTIF(LCE!$C$3:$C$43,C39)</f>
        <v>0</v>
      </c>
      <c r="K39" s="289">
        <f>COUNTIF(LI!$C$4:$C$60,C39)</f>
        <v>0</v>
      </c>
      <c r="L39" s="289">
        <f>COUNTIF(LAP!$C$5:$C$45,C39)</f>
        <v>0</v>
      </c>
      <c r="M39" s="289">
        <f>COUNTIF(LGDM!$C$4:$C$22,C39)</f>
        <v>0</v>
      </c>
      <c r="N39" s="289">
        <f>COUNTIF(LAM!$C$5:$C$21,C39)</f>
        <v>0</v>
      </c>
      <c r="O39" s="243">
        <f>COUNTIF(DEP!$C$3:$C$61,C39)</f>
        <v>0</v>
      </c>
      <c r="P39" s="291">
        <f>SUMIF(LCB!$C$4:$C$45,C39,LCB!$F$4:$F$45)+SUMIF(LM!$C$4:$C$140,C39,LM!$F$4:$F$140)+SUMIF(LO!$C$4:$C$230,C39,LO!$F$4:$F$230)+SUMIF(LE!$C$4:$C$200,C39,LE!$F$4:$F$200)+SUMIF(LN!$C$4:$C$48,C39,LN!$F$4:$F$48)+SUMIF(LCE!$C$4:$C$40,C39,LCE!$F$4:$F$40)+SUMIF(LI!$C$4:$C$55,C39,LI!$F$4:$F$55)+SUMIF(LAP!$C$4:$C$45,C39,LAP!$F$4:$F$45)+SUMIF(LGDM!$C$4:$C$22,C39,LGDM!$F$4:$F$22)+SUMIF(LAM!$C$4:$C$18,C39,LAM!$F$4:$F$18)+SUMIF(DEP!$C$4:$C$55,C39,DEP!$F$4:$F$55)</f>
        <v>187</v>
      </c>
      <c r="Q39" s="243">
        <f>SUMIF(LCB!$C$4:$C$45,C39,LCB!$E$4:$E$45)+SUMIF(LM!$C$4:$C$140,C39,LM!$E$4:$E$140)+SUMIF(LO!$C$4:$C$230,C39,LO!$E$4:$E$230)+SUMIF(LE!$C$4:$C$200,C39,LE!$E$4:$E$200)+SUMIF(LN!$C$4:$C$48,C39,LN!$E$4:$E$48)+SUMIF(LCE!$C$4:$C$40,C39,LCE!$E$4:$E$40)+SUMIF(LI!$C$4:$C$55,C39,LI!$E$4:$E$55)+SUMIF(LAP!$C$4:$C$45,C39,LAP!$E$4:$E$45)+SUMIF(LGDM!$C$4:$C$15,C39,LGDM!$E$4:$E$15)+SUMIF(LAM!$C$5:$C$18,C39,LAM!$E$5:$E$18)+SUMIF(DEP!$C$4:$C$55,C39,DEP!$E$4:$E$55)</f>
        <v>25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ht="13.5" customHeight="1">
      <c r="A40" s="35"/>
      <c r="B40" s="107">
        <v>20.0</v>
      </c>
      <c r="C40" s="31" t="s">
        <v>139</v>
      </c>
      <c r="D40" s="288">
        <f t="shared" si="2"/>
        <v>5</v>
      </c>
      <c r="E40" s="243">
        <f>COUNTIF(LCB!$C$4:$C$40,C40)</f>
        <v>0</v>
      </c>
      <c r="F40" s="243">
        <f>COUNTIF(LM!$C$4:$C$144,C40)</f>
        <v>5</v>
      </c>
      <c r="G40" s="243">
        <f>COUNTIF(LO!$C$4:$C$227,C40)</f>
        <v>0</v>
      </c>
      <c r="H40" s="243">
        <f>COUNTIF(LE!$C$4:$C$214,C40)</f>
        <v>0</v>
      </c>
      <c r="I40" s="289">
        <f>COUNTIF(LN!$C$4:$C$53,C40)</f>
        <v>0</v>
      </c>
      <c r="J40" s="289">
        <f>COUNTIF(LCE!$C$3:$C$43,C40)</f>
        <v>0</v>
      </c>
      <c r="K40" s="289">
        <f>COUNTIF(LI!$C$4:$C$60,C40)</f>
        <v>0</v>
      </c>
      <c r="L40" s="289">
        <f>COUNTIF(LAP!$C$5:$C$45,C40)</f>
        <v>0</v>
      </c>
      <c r="M40" s="289">
        <f>COUNTIF(LGDM!$C$4:$C$22,C40)</f>
        <v>0</v>
      </c>
      <c r="N40" s="289">
        <f>COUNTIF(LAM!$C$5:$C$21,C40)</f>
        <v>0</v>
      </c>
      <c r="O40" s="243">
        <f>COUNTIF(DEP!$C$3:$C$61,C40)</f>
        <v>0</v>
      </c>
      <c r="P40" s="291">
        <f>SUMIF(LCB!$C$4:$C$45,C40,LCB!$F$4:$F$45)+SUMIF(LM!$C$4:$C$140,C40,LM!$F$4:$F$140)+SUMIF(LO!$C$4:$C$230,C40,LO!$F$4:$F$230)+SUMIF(LE!$C$4:$C$200,C40,LE!$F$4:$F$200)+SUMIF(LN!$C$4:$C$48,C40,LN!$F$4:$F$48)+SUMIF(LCE!$C$4:$C$40,C40,LCE!$F$4:$F$40)+SUMIF(LI!$C$4:$C$55,C40,LI!$F$4:$F$55)+SUMIF(LAP!$C$4:$C$45,C40,LAP!$F$4:$F$45)+SUMIF(LGDM!$C$4:$C$22,C40,LGDM!$F$4:$F$22)+SUMIF(LAM!$C$4:$C$18,C40,LAM!$F$4:$F$18)+SUMIF(DEP!$C$4:$C$55,C40,DEP!$F$4:$F$55)</f>
        <v>188</v>
      </c>
      <c r="Q40" s="243">
        <f>SUMIF(LCB!$C$4:$C$45,C40,LCB!$E$4:$E$45)+SUMIF(LM!$C$4:$C$140,C40,LM!$E$4:$E$140)+SUMIF(LO!$C$4:$C$230,C40,LO!$E$4:$E$230)+SUMIF(LE!$C$4:$C$200,C40,LE!$E$4:$E$200)+SUMIF(LN!$C$4:$C$48,C40,LN!$E$4:$E$48)+SUMIF(LCE!$C$4:$C$40,C40,LCE!$E$4:$E$40)+SUMIF(LI!$C$4:$C$55,C40,LI!$E$4:$E$55)+SUMIF(LAP!$C$4:$C$45,C40,LAP!$E$4:$E$45)+SUMIF(LGDM!$C$4:$C$15,C40,LGDM!$E$4:$E$15)+SUMIF(LAM!$C$5:$C$18,C40,LAM!$E$5:$E$18)+SUMIF(DEP!$C$4:$C$55,C40,DEP!$E$4:$E$55)</f>
        <v>27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ht="13.5" customHeight="1">
      <c r="A41" s="35"/>
      <c r="B41" s="107">
        <v>21.0</v>
      </c>
      <c r="C41" s="31" t="s">
        <v>83</v>
      </c>
      <c r="D41" s="288">
        <f t="shared" si="2"/>
        <v>5</v>
      </c>
      <c r="E41" s="243">
        <f>COUNTIF(LCB!$C$4:$C$40,C41)</f>
        <v>0</v>
      </c>
      <c r="F41" s="243">
        <f>COUNTIF(LM!$C$4:$C$144,C41)</f>
        <v>2</v>
      </c>
      <c r="G41" s="243">
        <f>COUNTIF(LO!$C$4:$C$227,C41)</f>
        <v>3</v>
      </c>
      <c r="H41" s="243">
        <f>COUNTIF(LE!$C$4:$C$214,C41)</f>
        <v>0</v>
      </c>
      <c r="I41" s="289">
        <f>COUNTIF(LN!$C$4:$C$53,C41)</f>
        <v>0</v>
      </c>
      <c r="J41" s="289">
        <f>COUNTIF(LCE!$C$3:$C$43,C41)</f>
        <v>0</v>
      </c>
      <c r="K41" s="289">
        <f>COUNTIF(LI!$C$4:$C$60,C41)</f>
        <v>0</v>
      </c>
      <c r="L41" s="289">
        <f>COUNTIF(LAP!$C$5:$C$45,C41)</f>
        <v>0</v>
      </c>
      <c r="M41" s="289">
        <f>COUNTIF(LGDM!$C$4:$C$22,C41)</f>
        <v>0</v>
      </c>
      <c r="N41" s="289">
        <f>COUNTIF(LAM!$C$5:$C$21,C41)</f>
        <v>0</v>
      </c>
      <c r="O41" s="243">
        <f>COUNTIF(DEP!$C$3:$C$61,C41)</f>
        <v>0</v>
      </c>
      <c r="P41" s="291">
        <f>SUMIF(LCB!$C$4:$C$45,C41,LCB!$F$4:$F$45)+SUMIF(LM!$C$4:$C$140,C41,LM!$F$4:$F$140)+SUMIF(LO!$C$4:$C$230,C41,LO!$F$4:$F$230)+SUMIF(LE!$C$4:$C$200,C41,LE!$F$4:$F$200)+SUMIF(LN!$C$4:$C$48,C41,LN!$F$4:$F$48)+SUMIF(LCE!$C$4:$C$40,C41,LCE!$F$4:$F$40)+SUMIF(LI!$C$4:$C$55,C41,LI!$F$4:$F$55)+SUMIF(LAP!$C$4:$C$45,C41,LAP!$F$4:$F$45)+SUMIF(LGDM!$C$4:$C$22,C41,LGDM!$F$4:$F$22)+SUMIF(LAM!$C$4:$C$18,C41,LAM!$F$4:$F$18)+SUMIF(DEP!$C$4:$C$55,C41,DEP!$F$4:$F$55)</f>
        <v>76</v>
      </c>
      <c r="Q41" s="243">
        <f>SUMIF(LCB!$C$4:$C$45,C41,LCB!$E$4:$E$45)+SUMIF(LM!$C$4:$C$140,C41,LM!$E$4:$E$140)+SUMIF(LO!$C$4:$C$230,C41,LO!$E$4:$E$230)+SUMIF(LE!$C$4:$C$200,C41,LE!$E$4:$E$200)+SUMIF(LN!$C$4:$C$48,C41,LN!$E$4:$E$48)+SUMIF(LCE!$C$4:$C$40,C41,LCE!$E$4:$E$40)+SUMIF(LI!$C$4:$C$55,C41,LI!$E$4:$E$55)+SUMIF(LAP!$C$4:$C$45,C41,LAP!$E$4:$E$45)+SUMIF(LGDM!$C$4:$C$15,C41,LGDM!$E$4:$E$15)+SUMIF(LAM!$C$5:$C$18,C41,LAM!$E$5:$E$18)+SUMIF(DEP!$C$4:$C$55,C41,DEP!$E$4:$E$55)</f>
        <v>27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ht="13.5" customHeight="1">
      <c r="A42" s="35"/>
      <c r="B42" s="107">
        <v>22.0</v>
      </c>
      <c r="C42" s="31" t="s">
        <v>28</v>
      </c>
      <c r="D42" s="288">
        <f t="shared" si="2"/>
        <v>5</v>
      </c>
      <c r="E42" s="243">
        <f>COUNTIF(LCB!$C$4:$C$40,C42)</f>
        <v>0</v>
      </c>
      <c r="F42" s="243">
        <f>COUNTIF(LM!$C$4:$C$144,C42)</f>
        <v>2</v>
      </c>
      <c r="G42" s="243">
        <f>COUNTIF(LO!$C$4:$C$227,C42)</f>
        <v>3</v>
      </c>
      <c r="H42" s="243">
        <f>COUNTIF(LE!$C$4:$C$214,C42)</f>
        <v>0</v>
      </c>
      <c r="I42" s="289">
        <f>COUNTIF(LN!$C$4:$C$53,C42)</f>
        <v>0</v>
      </c>
      <c r="J42" s="289">
        <f>COUNTIF(LCE!$C$3:$C$43,C42)</f>
        <v>0</v>
      </c>
      <c r="K42" s="289">
        <f>COUNTIF(LI!$C$4:$C$60,C42)</f>
        <v>0</v>
      </c>
      <c r="L42" s="289">
        <f>COUNTIF(LAP!$C$5:$C$45,C42)</f>
        <v>0</v>
      </c>
      <c r="M42" s="289">
        <f>COUNTIF(LGDM!$C$4:$C$22,C42)</f>
        <v>0</v>
      </c>
      <c r="N42" s="289">
        <f>COUNTIF(LAM!$C$5:$C$21,C42)</f>
        <v>0</v>
      </c>
      <c r="O42" s="243">
        <f>COUNTIF(DEP!$C$3:$C$61,C42)</f>
        <v>0</v>
      </c>
      <c r="P42" s="291">
        <f>SUMIF(LCB!$C$4:$C$45,C42,LCB!$F$4:$F$45)+SUMIF(LM!$C$4:$C$140,C42,LM!$F$4:$F$140)+SUMIF(LO!$C$4:$C$230,C42,LO!$F$4:$F$230)+SUMIF(LE!$C$4:$C$200,C42,LE!$F$4:$F$200)+SUMIF(LN!$C$4:$C$48,C42,LN!$F$4:$F$48)+SUMIF(LCE!$C$4:$C$40,C42,LCE!$F$4:$F$40)+SUMIF(LI!$C$4:$C$55,C42,LI!$F$4:$F$55)+SUMIF(LAP!$C$4:$C$45,C42,LAP!$F$4:$F$45)+SUMIF(LGDM!$C$4:$C$22,C42,LGDM!$F$4:$F$22)+SUMIF(LAM!$C$4:$C$18,C42,LAM!$F$4:$F$18)+SUMIF(DEP!$C$4:$C$55,C42,DEP!$F$4:$F$55)</f>
        <v>70</v>
      </c>
      <c r="Q42" s="243">
        <f>SUMIF(LCB!$C$4:$C$45,C42,LCB!$E$4:$E$45)+SUMIF(LM!$C$4:$C$140,C42,LM!$E$4:$E$140)+SUMIF(LO!$C$4:$C$230,C42,LO!$E$4:$E$230)+SUMIF(LE!$C$4:$C$200,C42,LE!$E$4:$E$200)+SUMIF(LN!$C$4:$C$48,C42,LN!$E$4:$E$48)+SUMIF(LCE!$C$4:$C$40,C42,LCE!$E$4:$E$40)+SUMIF(LI!$C$4:$C$55,C42,LI!$E$4:$E$55)+SUMIF(LAP!$C$4:$C$45,C42,LAP!$E$4:$E$45)+SUMIF(LGDM!$C$4:$C$15,C42,LGDM!$E$4:$E$15)+SUMIF(LAM!$C$5:$C$18,C42,LAM!$E$5:$E$18)+SUMIF(DEP!$C$4:$C$55,C42,DEP!$E$4:$E$55)</f>
        <v>25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ht="13.5" customHeight="1">
      <c r="A43" s="35"/>
      <c r="B43" s="107">
        <v>23.0</v>
      </c>
      <c r="C43" s="31" t="s">
        <v>290</v>
      </c>
      <c r="D43" s="288">
        <f t="shared" si="2"/>
        <v>5</v>
      </c>
      <c r="E43" s="243">
        <f>COUNTIF(LCB!$C$4:$C$40,C43)</f>
        <v>0</v>
      </c>
      <c r="F43" s="243">
        <f>COUNTIF(LM!$C$4:$C$144,C43)</f>
        <v>0</v>
      </c>
      <c r="G43" s="243">
        <f>COUNTIF(LO!$C$4:$C$227,C43)</f>
        <v>0</v>
      </c>
      <c r="H43" s="243">
        <f>COUNTIF(LE!$C$4:$C$214,C43)</f>
        <v>3</v>
      </c>
      <c r="I43" s="289">
        <f>COUNTIF(LN!$C$4:$C$53,C43)</f>
        <v>2</v>
      </c>
      <c r="J43" s="289">
        <f>COUNTIF(LCE!$C$3:$C$43,C43)</f>
        <v>0</v>
      </c>
      <c r="K43" s="289">
        <f>COUNTIF(LI!$C$4:$C$60,C43)</f>
        <v>0</v>
      </c>
      <c r="L43" s="289">
        <f>COUNTIF(LAP!$C$5:$C$45,C43)</f>
        <v>0</v>
      </c>
      <c r="M43" s="289">
        <f>COUNTIF(LGDM!$C$4:$C$22,C43)</f>
        <v>0</v>
      </c>
      <c r="N43" s="289">
        <f>COUNTIF(LAM!$C$5:$C$21,C43)</f>
        <v>0</v>
      </c>
      <c r="O43" s="243">
        <f>COUNTIF(DEP!$C$3:$C$61,C43)</f>
        <v>0</v>
      </c>
      <c r="P43" s="291">
        <f>SUMIF(LCB!$C$4:$C$45,C43,LCB!$F$4:$F$45)+SUMIF(LM!$C$4:$C$140,C43,LM!$F$4:$F$140)+SUMIF(LO!$C$4:$C$230,C43,LO!$F$4:$F$230)+SUMIF(LE!$C$4:$C$200,C43,LE!$F$4:$F$200)+SUMIF(LN!$C$4:$C$48,C43,LN!$F$4:$F$48)+SUMIF(LCE!$C$4:$C$40,C43,LCE!$F$4:$F$40)+SUMIF(LI!$C$4:$C$55,C43,LI!$F$4:$F$55)+SUMIF(LAP!$C$4:$C$45,C43,LAP!$F$4:$F$45)+SUMIF(LGDM!$C$4:$C$22,C43,LGDM!$F$4:$F$22)+SUMIF(LAM!$C$4:$C$18,C43,LAM!$F$4:$F$18)+SUMIF(DEP!$C$4:$C$55,C43,DEP!$F$4:$F$55)</f>
        <v>155</v>
      </c>
      <c r="Q43" s="243">
        <f>SUMIF(LCB!$C$4:$C$45,C43,LCB!$E$4:$E$45)+SUMIF(LM!$C$4:$C$140,C43,LM!$E$4:$E$140)+SUMIF(LO!$C$4:$C$230,C43,LO!$E$4:$E$230)+SUMIF(LE!$C$4:$C$200,C43,LE!$E$4:$E$200)+SUMIF(LN!$C$4:$C$48,C43,LN!$E$4:$E$48)+SUMIF(LCE!$C$4:$C$40,C43,LCE!$E$4:$E$40)+SUMIF(LI!$C$4:$C$55,C43,LI!$E$4:$E$55)+SUMIF(LAP!$C$4:$C$45,C43,LAP!$E$4:$E$45)+SUMIF(LGDM!$C$4:$C$15,C43,LGDM!$E$4:$E$15)+SUMIF(LAM!$C$5:$C$18,C43,LAM!$E$5:$E$18)+SUMIF(DEP!$C$4:$C$55,C43,DEP!$E$4:$E$55)</f>
        <v>27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ht="13.5" customHeight="1">
      <c r="A44" s="35"/>
      <c r="B44" s="107">
        <v>24.0</v>
      </c>
      <c r="C44" s="31" t="s">
        <v>69</v>
      </c>
      <c r="D44" s="288">
        <f t="shared" si="2"/>
        <v>5</v>
      </c>
      <c r="E44" s="243">
        <f>COUNTIF(LCB!$C$4:$C$40,C44)</f>
        <v>0</v>
      </c>
      <c r="F44" s="243">
        <f>COUNTIF(LM!$C$4:$C$144,C44)</f>
        <v>2</v>
      </c>
      <c r="G44" s="243">
        <f>COUNTIF(LO!$C$4:$C$227,C44)</f>
        <v>0</v>
      </c>
      <c r="H44" s="243">
        <f>COUNTIF(LE!$C$4:$C$214,C44)</f>
        <v>3</v>
      </c>
      <c r="I44" s="289">
        <f>COUNTIF(LN!$C$4:$C$53,C44)</f>
        <v>0</v>
      </c>
      <c r="J44" s="289">
        <f>COUNTIF(LCE!$C$3:$C$43,C44)</f>
        <v>0</v>
      </c>
      <c r="K44" s="289">
        <f>COUNTIF(LI!$C$4:$C$60,C44)</f>
        <v>0</v>
      </c>
      <c r="L44" s="289">
        <f>COUNTIF(LAP!$C$5:$C$45,C44)</f>
        <v>0</v>
      </c>
      <c r="M44" s="289">
        <f>COUNTIF(LGDM!$C$4:$C$22,C44)</f>
        <v>0</v>
      </c>
      <c r="N44" s="289">
        <f>COUNTIF(LAM!$C$5:$C$21,C44)</f>
        <v>0</v>
      </c>
      <c r="O44" s="243">
        <f>COUNTIF(DEP!$C$3:$C$61,C44)</f>
        <v>0</v>
      </c>
      <c r="P44" s="291">
        <f>SUMIF(LCB!$C$4:$C$45,C44,LCB!$F$4:$F$45)+SUMIF(LM!$C$4:$C$140,C44,LM!$F$4:$F$140)+SUMIF(LO!$C$4:$C$230,C44,LO!$F$4:$F$230)+SUMIF(LE!$C$4:$C$200,C44,LE!$F$4:$F$200)+SUMIF(LN!$C$4:$C$48,C44,LN!$F$4:$F$48)+SUMIF(LCE!$C$4:$C$40,C44,LCE!$F$4:$F$40)+SUMIF(LI!$C$4:$C$55,C44,LI!$F$4:$F$55)+SUMIF(LAP!$C$4:$C$45,C44,LAP!$F$4:$F$45)+SUMIF(LGDM!$C$4:$C$22,C44,LGDM!$F$4:$F$22)+SUMIF(LAM!$C$4:$C$18,C44,LAM!$F$4:$F$18)+SUMIF(DEP!$C$4:$C$55,C44,DEP!$F$4:$F$55)</f>
        <v>160</v>
      </c>
      <c r="Q44" s="243">
        <f>SUMIF(LCB!$C$4:$C$45,C44,LCB!$E$4:$E$45)+SUMIF(LM!$C$4:$C$140,C44,LM!$E$4:$E$140)+SUMIF(LO!$C$4:$C$230,C44,LO!$E$4:$E$230)+SUMIF(LE!$C$4:$C$200,C44,LE!$E$4:$E$200)+SUMIF(LN!$C$4:$C$48,C44,LN!$E$4:$E$48)+SUMIF(LCE!$C$4:$C$40,C44,LCE!$E$4:$E$40)+SUMIF(LI!$C$4:$C$55,C44,LI!$E$4:$E$55)+SUMIF(LAP!$C$4:$C$45,C44,LAP!$E$4:$E$45)+SUMIF(LGDM!$C$4:$C$15,C44,LGDM!$E$4:$E$15)+SUMIF(LAM!$C$5:$C$18,C44,LAM!$E$5:$E$18)+SUMIF(DEP!$C$4:$C$55,C44,DEP!$E$4:$E$55)</f>
        <v>25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ht="13.5" customHeight="1">
      <c r="A45" s="35"/>
      <c r="B45" s="107">
        <v>25.0</v>
      </c>
      <c r="C45" s="31" t="s">
        <v>89</v>
      </c>
      <c r="D45" s="288">
        <f t="shared" si="2"/>
        <v>4</v>
      </c>
      <c r="E45" s="243">
        <f>COUNTIF(LCB!$C$4:$C$40,C45)</f>
        <v>0</v>
      </c>
      <c r="F45" s="243">
        <f>COUNTIF(LM!$C$4:$C$144,C45)</f>
        <v>4</v>
      </c>
      <c r="G45" s="243">
        <f>COUNTIF(LO!$C$4:$C$227,C45)</f>
        <v>0</v>
      </c>
      <c r="H45" s="243">
        <f>COUNTIF(LE!$C$4:$C$214,C45)</f>
        <v>0</v>
      </c>
      <c r="I45" s="289">
        <f>COUNTIF(LN!$C$4:$C$53,C45)</f>
        <v>0</v>
      </c>
      <c r="J45" s="289">
        <f>COUNTIF(LCE!$C$3:$C$43,C45)</f>
        <v>0</v>
      </c>
      <c r="K45" s="289">
        <f>COUNTIF(LI!$C$4:$C$60,C45)</f>
        <v>0</v>
      </c>
      <c r="L45" s="289">
        <f>COUNTIF(LAP!$C$5:$C$45,C45)</f>
        <v>0</v>
      </c>
      <c r="M45" s="289">
        <f>COUNTIF(LGDM!$C$4:$C$22,C45)</f>
        <v>0</v>
      </c>
      <c r="N45" s="289">
        <f>COUNTIF(LAM!$C$5:$C$21,C45)</f>
        <v>0</v>
      </c>
      <c r="O45" s="243">
        <f>COUNTIF(DEP!$C$3:$C$61,C45)</f>
        <v>0</v>
      </c>
      <c r="P45" s="291">
        <f>SUMIF(LCB!$C$4:$C$45,C45,LCB!$F$4:$F$45)+SUMIF(LM!$C$4:$C$140,C45,LM!$F$4:$F$140)+SUMIF(LO!$C$4:$C$230,C45,LO!$F$4:$F$230)+SUMIF(LE!$C$4:$C$200,C45,LE!$F$4:$F$200)+SUMIF(LN!$C$4:$C$48,C45,LN!$F$4:$F$48)+SUMIF(LCE!$C$4:$C$40,C45,LCE!$F$4:$F$40)+SUMIF(LI!$C$4:$C$55,C45,LI!$F$4:$F$55)+SUMIF(LAP!$C$4:$C$45,C45,LAP!$F$4:$F$45)+SUMIF(LGDM!$C$4:$C$22,C45,LGDM!$F$4:$F$22)+SUMIF(LAM!$C$4:$C$18,C45,LAM!$F$4:$F$18)+SUMIF(DEP!$C$4:$C$55,C45,DEP!$F$4:$F$55)</f>
        <v>164</v>
      </c>
      <c r="Q45" s="243">
        <f>SUMIF(LCB!$C$4:$C$45,C45,LCB!$E$4:$E$45)+SUMIF(LM!$C$4:$C$140,C45,LM!$E$4:$E$140)+SUMIF(LO!$C$4:$C$230,C45,LO!$E$4:$E$230)+SUMIF(LE!$C$4:$C$200,C45,LE!$E$4:$E$200)+SUMIF(LN!$C$4:$C$48,C45,LN!$E$4:$E$48)+SUMIF(LCE!$C$4:$C$40,C45,LCE!$E$4:$E$40)+SUMIF(LI!$C$4:$C$55,C45,LI!$E$4:$E$55)+SUMIF(LAP!$C$4:$C$45,C45,LAP!$E$4:$E$45)+SUMIF(LGDM!$C$4:$C$15,C45,LGDM!$E$4:$E$15)+SUMIF(LAM!$C$5:$C$18,C45,LAM!$E$5:$E$18)+SUMIF(DEP!$C$4:$C$55,C45,DEP!$E$4:$E$55)</f>
        <v>23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ht="13.5" customHeight="1">
      <c r="A46" s="35"/>
      <c r="B46" s="107">
        <v>26.0</v>
      </c>
      <c r="C46" s="31" t="s">
        <v>137</v>
      </c>
      <c r="D46" s="288">
        <f t="shared" si="2"/>
        <v>4</v>
      </c>
      <c r="E46" s="243">
        <f>COUNTIF(LCB!$C$4:$C$40,C46)</f>
        <v>0</v>
      </c>
      <c r="F46" s="243">
        <f>COUNTIF(LM!$C$4:$C$144,C46)</f>
        <v>4</v>
      </c>
      <c r="G46" s="243">
        <f>COUNTIF(LO!$C$4:$C$227,C46)</f>
        <v>0</v>
      </c>
      <c r="H46" s="243">
        <f>COUNTIF(LE!$C$4:$C$214,C46)</f>
        <v>0</v>
      </c>
      <c r="I46" s="289">
        <f>COUNTIF(LN!$C$4:$C$53,C46)</f>
        <v>0</v>
      </c>
      <c r="J46" s="289">
        <f>COUNTIF(LCE!$C$3:$C$43,C46)</f>
        <v>0</v>
      </c>
      <c r="K46" s="289">
        <f>COUNTIF(LI!$C$4:$C$60,C46)</f>
        <v>0</v>
      </c>
      <c r="L46" s="289">
        <f>COUNTIF(LAP!$C$5:$C$45,C46)</f>
        <v>0</v>
      </c>
      <c r="M46" s="289">
        <f>COUNTIF(LGDM!$C$4:$C$22,C46)</f>
        <v>0</v>
      </c>
      <c r="N46" s="289">
        <f>COUNTIF(LAM!$C$5:$C$21,C46)</f>
        <v>0</v>
      </c>
      <c r="O46" s="243">
        <f>COUNTIF(DEP!$C$3:$C$61,C46)</f>
        <v>0</v>
      </c>
      <c r="P46" s="291">
        <f>SUMIF(LCB!$C$4:$C$45,C46,LCB!$F$4:$F$45)+SUMIF(LM!$C$4:$C$140,C46,LM!$F$4:$F$140)+SUMIF(LO!$C$4:$C$230,C46,LO!$F$4:$F$230)+SUMIF(LE!$C$4:$C$200,C46,LE!$F$4:$F$200)+SUMIF(LN!$C$4:$C$48,C46,LN!$F$4:$F$48)+SUMIF(LCE!$C$4:$C$40,C46,LCE!$F$4:$F$40)+SUMIF(LI!$C$4:$C$55,C46,LI!$F$4:$F$55)+SUMIF(LAP!$C$4:$C$45,C46,LAP!$F$4:$F$45)+SUMIF(LGDM!$C$4:$C$22,C46,LGDM!$F$4:$F$22)+SUMIF(LAM!$C$4:$C$18,C46,LAM!$F$4:$F$18)+SUMIF(DEP!$C$4:$C$55,C46,DEP!$F$4:$F$55)</f>
        <v>114</v>
      </c>
      <c r="Q46" s="243">
        <f>SUMIF(LCB!$C$4:$C$45,C46,LCB!$E$4:$E$45)+SUMIF(LM!$C$4:$C$140,C46,LM!$E$4:$E$140)+SUMIF(LO!$C$4:$C$230,C46,LO!$E$4:$E$230)+SUMIF(LE!$C$4:$C$200,C46,LE!$E$4:$E$200)+SUMIF(LN!$C$4:$C$48,C46,LN!$E$4:$E$48)+SUMIF(LCE!$C$4:$C$40,C46,LCE!$E$4:$E$40)+SUMIF(LI!$C$4:$C$55,C46,LI!$E$4:$E$55)+SUMIF(LAP!$C$4:$C$45,C46,LAP!$E$4:$E$45)+SUMIF(LGDM!$C$4:$C$15,C46,LGDM!$E$4:$E$15)+SUMIF(LAM!$C$5:$C$18,C46,LAM!$E$5:$E$18)+SUMIF(DEP!$C$4:$C$55,C46,DEP!$E$4:$E$55)</f>
        <v>25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ht="13.5" customHeight="1">
      <c r="A47" s="35"/>
      <c r="B47" s="107">
        <v>27.0</v>
      </c>
      <c r="C47" s="31" t="s">
        <v>77</v>
      </c>
      <c r="D47" s="288">
        <f t="shared" si="2"/>
        <v>5</v>
      </c>
      <c r="E47" s="243">
        <f>COUNTIF(LCB!$C$4:$C$40,C47)</f>
        <v>0</v>
      </c>
      <c r="F47" s="243">
        <f>COUNTIF(LM!$C$4:$C$144,C47)</f>
        <v>1</v>
      </c>
      <c r="G47" s="243">
        <f>COUNTIF(LO!$C$4:$C$227,C47)</f>
        <v>4</v>
      </c>
      <c r="H47" s="243">
        <f>COUNTIF(LE!$C$4:$C$214,C47)</f>
        <v>0</v>
      </c>
      <c r="I47" s="289">
        <f>COUNTIF(LN!$C$4:$C$53,C47)</f>
        <v>0</v>
      </c>
      <c r="J47" s="289">
        <f>COUNTIF(LCE!$C$3:$C$43,C47)</f>
        <v>0</v>
      </c>
      <c r="K47" s="289">
        <f>COUNTIF(LI!$C$4:$C$60,C47)</f>
        <v>0</v>
      </c>
      <c r="L47" s="289">
        <f>COUNTIF(LAP!$C$5:$C$45,C47)</f>
        <v>0</v>
      </c>
      <c r="M47" s="289">
        <f>COUNTIF(LGDM!$C$4:$C$22,C47)</f>
        <v>0</v>
      </c>
      <c r="N47" s="289">
        <f>COUNTIF(LAM!$C$5:$C$21,C47)</f>
        <v>0</v>
      </c>
      <c r="O47" s="243">
        <f>COUNTIF(DEP!$C$3:$C$61,C47)</f>
        <v>0</v>
      </c>
      <c r="P47" s="291">
        <f>SUMIF(LCB!$C$4:$C$45,C47,LCB!$F$4:$F$45)+SUMIF(LM!$C$4:$C$140,C47,LM!$F$4:$F$140)+SUMIF(LO!$C$4:$C$230,C47,LO!$F$4:$F$230)+SUMIF(LE!$C$4:$C$200,C47,LE!$F$4:$F$200)+SUMIF(LN!$C$4:$C$48,C47,LN!$F$4:$F$48)+SUMIF(LCE!$C$4:$C$40,C47,LCE!$F$4:$F$40)+SUMIF(LI!$C$4:$C$55,C47,LI!$F$4:$F$55)+SUMIF(LAP!$C$4:$C$45,C47,LAP!$F$4:$F$45)+SUMIF(LGDM!$C$4:$C$22,C47,LGDM!$F$4:$F$22)+SUMIF(LAM!$C$4:$C$18,C47,LAM!$F$4:$F$18)+SUMIF(DEP!$C$4:$C$55,C47,DEP!$F$4:$F$55)</f>
        <v>159</v>
      </c>
      <c r="Q47" s="243">
        <f>SUMIF(LCB!$C$4:$C$45,C47,LCB!$E$4:$E$45)+SUMIF(LM!$C$4:$C$140,C47,LM!$E$4:$E$140)+SUMIF(LO!$C$4:$C$230,C47,LO!$E$4:$E$230)+SUMIF(LE!$C$4:$C$200,C47,LE!$E$4:$E$200)+SUMIF(LN!$C$4:$C$48,C47,LN!$E$4:$E$48)+SUMIF(LCE!$C$4:$C$40,C47,LCE!$E$4:$E$40)+SUMIF(LI!$C$4:$C$55,C47,LI!$E$4:$E$55)+SUMIF(LAP!$C$4:$C$45,C47,LAP!$E$4:$E$45)+SUMIF(LGDM!$C$4:$C$15,C47,LGDM!$E$4:$E$15)+SUMIF(LAM!$C$5:$C$18,C47,LAM!$E$5:$E$18)+SUMIF(DEP!$C$4:$C$55,C47,DEP!$E$4:$E$55)</f>
        <v>26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ht="13.5" customHeight="1">
      <c r="A48" s="35"/>
      <c r="B48" s="107">
        <v>28.0</v>
      </c>
      <c r="C48" s="137" t="s">
        <v>344</v>
      </c>
      <c r="D48" s="288">
        <f t="shared" si="2"/>
        <v>0</v>
      </c>
      <c r="E48" s="243">
        <f>COUNTIF(LCB!$C$4:$C$40,C48)</f>
        <v>0</v>
      </c>
      <c r="F48" s="243">
        <f>COUNTIF(LM!$C$4:$C$144,C48)</f>
        <v>0</v>
      </c>
      <c r="G48" s="243">
        <f>COUNTIF(LO!$C$4:$C$227,C48)</f>
        <v>0</v>
      </c>
      <c r="H48" s="243">
        <f>COUNTIF(LE!$C$4:$C$214,C48)</f>
        <v>0</v>
      </c>
      <c r="I48" s="289">
        <f>COUNTIF(LN!$C$4:$C$53,C48)</f>
        <v>0</v>
      </c>
      <c r="J48" s="289">
        <f>COUNTIF(LCE!$C$3:$C$43,C48)</f>
        <v>0</v>
      </c>
      <c r="K48" s="289">
        <f>COUNTIF(LI!$C$4:$C$60,C48)</f>
        <v>0</v>
      </c>
      <c r="L48" s="289">
        <f>COUNTIF(LAP!$C$5:$C$45,C48)</f>
        <v>0</v>
      </c>
      <c r="M48" s="289">
        <f>COUNTIF(LGDM!$C$4:$C$22,C48)</f>
        <v>0</v>
      </c>
      <c r="N48" s="289">
        <f>COUNTIF(LAM!$C$5:$C$21,C48)</f>
        <v>0</v>
      </c>
      <c r="O48" s="243">
        <f>COUNTIF(DEP!$C$3:$C$61,C48)</f>
        <v>0</v>
      </c>
      <c r="P48" s="291">
        <f>SUMIF(LCB!$C$4:$C$45,C48,LCB!$F$4:$F$45)+SUMIF(LM!$C$4:$C$140,C48,LM!$F$4:$F$140)+SUMIF(LO!$C$4:$C$230,C48,LO!$F$4:$F$230)+SUMIF(LE!$C$4:$C$200,C48,LE!$F$4:$F$200)+SUMIF(LN!$C$4:$C$48,C48,LN!$F$4:$F$48)+SUMIF(LCE!$C$4:$C$40,C48,LCE!$F$4:$F$40)+SUMIF(LI!$C$4:$C$55,C48,LI!$F$4:$F$55)+SUMIF(LAP!$C$4:$C$45,C48,LAP!$F$4:$F$45)+SUMIF(LGDM!$C$4:$C$22,C48,LGDM!$F$4:$F$22)+SUMIF(LAM!$C$4:$C$18,C48,LAM!$F$4:$F$18)+SUMIF(DEP!$C$4:$C$55,C48,DEP!$F$4:$F$55)</f>
        <v>0</v>
      </c>
      <c r="Q48" s="243">
        <f>SUMIF(LCB!$C$4:$C$45,C48,LCB!$E$4:$E$45)+SUMIF(LM!$C$4:$C$140,C48,LM!$E$4:$E$140)+SUMIF(LO!$C$4:$C$230,C48,LO!$E$4:$E$230)+SUMIF(LE!$C$4:$C$200,C48,LE!$E$4:$E$200)+SUMIF(LN!$C$4:$C$48,C48,LN!$E$4:$E$48)+SUMIF(LCE!$C$4:$C$40,C48,LCE!$E$4:$E$40)+SUMIF(LI!$C$4:$C$55,C48,LI!$E$4:$E$55)+SUMIF(LAP!$C$4:$C$45,C48,LAP!$E$4:$E$45)+SUMIF(LGDM!$C$4:$C$15,C48,LGDM!$E$4:$E$15)+SUMIF(LAM!$C$5:$C$18,C48,LAM!$E$5:$E$18)+SUMIF(DEP!$C$4:$C$55,C48,DEP!$E$4:$E$55)</f>
        <v>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ht="13.5" customHeight="1">
      <c r="A49" s="35"/>
      <c r="B49" s="107">
        <v>29.0</v>
      </c>
      <c r="C49" s="138" t="s">
        <v>346</v>
      </c>
      <c r="D49" s="288">
        <f t="shared" si="2"/>
        <v>0</v>
      </c>
      <c r="E49" s="243">
        <f>COUNTIF(LCB!$C$4:$C$40,C49)</f>
        <v>0</v>
      </c>
      <c r="F49" s="243">
        <f>COUNTIF(LM!$C$4:$C$144,C49)</f>
        <v>0</v>
      </c>
      <c r="G49" s="243">
        <f>COUNTIF(LO!$C$4:$C$227,C49)</f>
        <v>0</v>
      </c>
      <c r="H49" s="243">
        <f>COUNTIF(LE!$C$4:$C$214,C49)</f>
        <v>0</v>
      </c>
      <c r="I49" s="289">
        <f>COUNTIF(LN!$C$4:$C$53,C49)</f>
        <v>0</v>
      </c>
      <c r="J49" s="289">
        <f>COUNTIF(LCE!$C$3:$C$43,C49)</f>
        <v>0</v>
      </c>
      <c r="K49" s="289">
        <f>COUNTIF(LI!$C$4:$C$60,C49)</f>
        <v>0</v>
      </c>
      <c r="L49" s="289">
        <f>COUNTIF(LAP!$C$5:$C$45,C49)</f>
        <v>0</v>
      </c>
      <c r="M49" s="289">
        <f>COUNTIF(LGDM!$C$4:$C$22,C49)</f>
        <v>0</v>
      </c>
      <c r="N49" s="289">
        <f>COUNTIF(LAM!$C$5:$C$21,C49)</f>
        <v>0</v>
      </c>
      <c r="O49" s="243">
        <f>COUNTIF(DEP!$C$3:$C$61,C49)</f>
        <v>0</v>
      </c>
      <c r="P49" s="291">
        <f>SUMIF(LCB!$C$4:$C$45,C49,LCB!$F$4:$F$45)+SUMIF(LM!$C$4:$C$140,C49,LM!$F$4:$F$140)+SUMIF(LO!$C$4:$C$230,C49,LO!$F$4:$F$230)+SUMIF(LE!$C$4:$C$200,C49,LE!$F$4:$F$200)+SUMIF(LN!$C$4:$C$48,C49,LN!$F$4:$F$48)+SUMIF(LCE!$C$4:$C$40,C49,LCE!$F$4:$F$40)+SUMIF(LI!$C$4:$C$55,C49,LI!$F$4:$F$55)+SUMIF(LAP!$C$4:$C$45,C49,LAP!$F$4:$F$45)+SUMIF(LGDM!$C$4:$C$22,C49,LGDM!$F$4:$F$22)+SUMIF(LAM!$C$4:$C$18,C49,LAM!$F$4:$F$18)+SUMIF(DEP!$C$4:$C$55,C49,DEP!$F$4:$F$55)</f>
        <v>0</v>
      </c>
      <c r="Q49" s="243">
        <f>SUMIF(LCB!$C$4:$C$45,C49,LCB!$E$4:$E$45)+SUMIF(LM!$C$4:$C$140,C49,LM!$E$4:$E$140)+SUMIF(LO!$C$4:$C$230,C49,LO!$E$4:$E$230)+SUMIF(LE!$C$4:$C$200,C49,LE!$E$4:$E$200)+SUMIF(LN!$C$4:$C$48,C49,LN!$E$4:$E$48)+SUMIF(LCE!$C$4:$C$40,C49,LCE!$E$4:$E$40)+SUMIF(LI!$C$4:$C$55,C49,LI!$E$4:$E$55)+SUMIF(LAP!$C$4:$C$45,C49,LAP!$E$4:$E$45)+SUMIF(LGDM!$C$4:$C$15,C49,LGDM!$E$4:$E$15)+SUMIF(LAM!$C$5:$C$18,C49,LAM!$E$5:$E$18)+SUMIF(DEP!$C$4:$C$55,C49,DEP!$E$4:$E$55)</f>
        <v>0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ht="13.5" customHeight="1">
      <c r="A50" s="35"/>
      <c r="B50" s="107">
        <v>30.0</v>
      </c>
      <c r="C50" s="137" t="s">
        <v>348</v>
      </c>
      <c r="D50" s="288">
        <f t="shared" si="2"/>
        <v>0</v>
      </c>
      <c r="E50" s="243">
        <f>COUNTIF(LCB!$C$4:$C$40,C50)</f>
        <v>0</v>
      </c>
      <c r="F50" s="243">
        <f>COUNTIF(LM!$C$4:$C$144,C50)</f>
        <v>0</v>
      </c>
      <c r="G50" s="243">
        <f>COUNTIF(LO!$C$4:$C$227,C50)</f>
        <v>0</v>
      </c>
      <c r="H50" s="243">
        <f>COUNTIF(LE!$C$4:$C$214,C50)</f>
        <v>0</v>
      </c>
      <c r="I50" s="289">
        <f>COUNTIF(LN!$C$4:$C$53,C50)</f>
        <v>0</v>
      </c>
      <c r="J50" s="289">
        <f>COUNTIF(LCE!$C$3:$C$43,C50)</f>
        <v>0</v>
      </c>
      <c r="K50" s="289">
        <f>COUNTIF(LI!$C$4:$C$60,C50)</f>
        <v>0</v>
      </c>
      <c r="L50" s="289">
        <f>COUNTIF(LAP!$C$5:$C$45,C50)</f>
        <v>0</v>
      </c>
      <c r="M50" s="289">
        <f>COUNTIF(LGDM!$C$4:$C$22,C50)</f>
        <v>0</v>
      </c>
      <c r="N50" s="289">
        <f>COUNTIF(LAM!$C$5:$C$21,C50)</f>
        <v>0</v>
      </c>
      <c r="O50" s="243">
        <f>COUNTIF(DEP!$C$3:$C$61,C50)</f>
        <v>0</v>
      </c>
      <c r="P50" s="291">
        <f>SUMIF(LCB!$C$4:$C$45,C50,LCB!$F$4:$F$45)+SUMIF(LM!$C$4:$C$140,C50,LM!$F$4:$F$140)+SUMIF(LO!$C$4:$C$230,C50,LO!$F$4:$F$230)+SUMIF(LE!$C$4:$C$200,C50,LE!$F$4:$F$200)+SUMIF(LN!$C$4:$C$48,C50,LN!$F$4:$F$48)+SUMIF(LCE!$C$4:$C$40,C50,LCE!$F$4:$F$40)+SUMIF(LI!$C$4:$C$55,C50,LI!$F$4:$F$55)+SUMIF(LAP!$C$4:$C$45,C50,LAP!$F$4:$F$45)+SUMIF(LGDM!$C$4:$C$22,C50,LGDM!$F$4:$F$22)+SUMIF(LAM!$C$4:$C$18,C50,LAM!$F$4:$F$18)+SUMIF(DEP!$C$4:$C$55,C50,DEP!$F$4:$F$55)</f>
        <v>0</v>
      </c>
      <c r="Q50" s="243">
        <f>SUMIF(LCB!$C$4:$C$45,C50,LCB!$E$4:$E$45)+SUMIF(LM!$C$4:$C$140,C50,LM!$E$4:$E$140)+SUMIF(LO!$C$4:$C$230,C50,LO!$E$4:$E$230)+SUMIF(LE!$C$4:$C$200,C50,LE!$E$4:$E$200)+SUMIF(LN!$C$4:$C$48,C50,LN!$E$4:$E$48)+SUMIF(LCE!$C$4:$C$40,C50,LCE!$E$4:$E$40)+SUMIF(LI!$C$4:$C$55,C50,LI!$E$4:$E$55)+SUMIF(LAP!$C$4:$C$45,C50,LAP!$E$4:$E$45)+SUMIF(LGDM!$C$4:$C$15,C50,LGDM!$E$4:$E$15)+SUMIF(LAM!$C$5:$C$18,C50,LAM!$E$5:$E$18)+SUMIF(DEP!$C$4:$C$55,C50,DEP!$E$4:$E$55)</f>
        <v>0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ht="13.5" customHeight="1">
      <c r="A51" s="35"/>
      <c r="B51" s="352"/>
      <c r="C51" s="11"/>
      <c r="D51" s="13"/>
      <c r="E51" s="13"/>
      <c r="F51" s="13"/>
      <c r="G51" s="13"/>
      <c r="H51" s="13"/>
      <c r="I51" s="13"/>
      <c r="J51" s="13"/>
      <c r="K51" s="13"/>
      <c r="L51" s="13"/>
      <c r="M51" s="35"/>
      <c r="N51" s="35"/>
      <c r="O51" s="35"/>
      <c r="P51" s="35"/>
      <c r="Q51" s="35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ht="13.5" customHeight="1">
      <c r="A52" s="35"/>
      <c r="B52" s="352"/>
      <c r="C52" s="11"/>
      <c r="D52" s="13"/>
      <c r="E52" s="13"/>
      <c r="F52" s="13"/>
      <c r="G52" s="13"/>
      <c r="H52" s="13"/>
      <c r="I52" s="13"/>
      <c r="J52" s="13"/>
      <c r="K52" s="13"/>
      <c r="L52" s="13"/>
      <c r="M52" s="35"/>
      <c r="N52" s="35"/>
      <c r="O52" s="35"/>
      <c r="P52" s="35"/>
      <c r="Q52" s="35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ht="13.5" customHeight="1">
      <c r="A53" s="35"/>
      <c r="B53" s="352"/>
      <c r="C53" s="11"/>
      <c r="D53" s="13"/>
      <c r="E53" s="13"/>
      <c r="F53" s="13"/>
      <c r="G53" s="13"/>
      <c r="H53" s="13"/>
      <c r="I53" s="13"/>
      <c r="J53" s="13"/>
      <c r="K53" s="13"/>
      <c r="L53" s="13"/>
      <c r="M53" s="35"/>
      <c r="N53" s="35"/>
      <c r="O53" s="35"/>
      <c r="P53" s="35"/>
      <c r="Q53" s="35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ht="13.5" customHeight="1">
      <c r="A54" s="35"/>
      <c r="B54" s="352"/>
      <c r="C54" s="11"/>
      <c r="D54" s="13"/>
      <c r="E54" s="13"/>
      <c r="F54" s="13"/>
      <c r="G54" s="13"/>
      <c r="H54" s="13"/>
      <c r="I54" s="13"/>
      <c r="J54" s="13"/>
      <c r="K54" s="13"/>
      <c r="L54" s="13"/>
      <c r="M54" s="35"/>
      <c r="N54" s="35"/>
      <c r="O54" s="35"/>
      <c r="P54" s="35"/>
      <c r="Q54" s="35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ht="15.75" customHeight="1">
      <c r="A55" s="35"/>
      <c r="B55" s="282" t="s">
        <v>46</v>
      </c>
      <c r="C55" s="283" t="s">
        <v>685</v>
      </c>
      <c r="D55" s="129" t="s">
        <v>334</v>
      </c>
      <c r="E55" s="284" t="s">
        <v>23</v>
      </c>
      <c r="F55" s="284" t="s">
        <v>15</v>
      </c>
      <c r="G55" s="284" t="s">
        <v>46</v>
      </c>
      <c r="H55" s="284" t="s">
        <v>16</v>
      </c>
      <c r="I55" s="284" t="s">
        <v>252</v>
      </c>
      <c r="J55" s="284" t="s">
        <v>41</v>
      </c>
      <c r="K55" s="284" t="s">
        <v>48</v>
      </c>
      <c r="L55" s="284" t="s">
        <v>58</v>
      </c>
      <c r="M55" s="286" t="s">
        <v>439</v>
      </c>
      <c r="N55" s="284" t="s">
        <v>687</v>
      </c>
      <c r="O55" s="284" t="s">
        <v>56</v>
      </c>
      <c r="P55" s="129" t="s">
        <v>210</v>
      </c>
      <c r="Q55" s="129" t="s">
        <v>688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ht="13.5" customHeight="1">
      <c r="A56" s="35"/>
      <c r="B56" s="107">
        <v>1.0</v>
      </c>
      <c r="C56" s="1" t="s">
        <v>281</v>
      </c>
      <c r="D56" s="288">
        <f t="shared" ref="D56:D74" si="3">SUM(E56:O56)</f>
        <v>2</v>
      </c>
      <c r="E56" s="243">
        <f>COUNTIF(LCB!$C$4:$C$40,C56)</f>
        <v>0</v>
      </c>
      <c r="F56" s="243">
        <f>COUNTIF(LM!$C$4:$C$144,C56)</f>
        <v>0</v>
      </c>
      <c r="G56" s="243">
        <f>COUNTIF(LO!$C$4:$C$227,C56)</f>
        <v>2</v>
      </c>
      <c r="H56" s="243">
        <f>COUNTIF(LE!$C$4:$C$214,C56)</f>
        <v>0</v>
      </c>
      <c r="I56" s="289">
        <f>COUNTIF(LN!$C$4:$C$53,C56)</f>
        <v>0</v>
      </c>
      <c r="J56" s="289">
        <f>COUNTIF(LCE!$C$3:$C$43,C56)</f>
        <v>0</v>
      </c>
      <c r="K56" s="289">
        <f>COUNTIF(LI!$C$4:$C$60,C56)</f>
        <v>0</v>
      </c>
      <c r="L56" s="289">
        <f>COUNTIF(LAP!$C$5:$C$45,C56)</f>
        <v>0</v>
      </c>
      <c r="M56" s="289">
        <f>COUNTIF(LGDM!$C$4:$C$22,C56)</f>
        <v>0</v>
      </c>
      <c r="N56" s="289">
        <f>COUNTIF(LAM!$C$5:$C$21,C56)</f>
        <v>0</v>
      </c>
      <c r="O56" s="243">
        <f>COUNTIF(DEP!$C$3:$C$61,C56)</f>
        <v>0</v>
      </c>
      <c r="P56" s="291">
        <f>SUMIF(LCB!$C$4:$C$45,C56,LCB!$F$4:$F$45)+SUMIF(LM!$C$4:$C$140,C56,LM!$F$4:$F$140)+SUMIF(LO!$C$4:$C$230,C56,LO!$F$4:$F$230)+SUMIF(LE!$C$4:$C$200,C56,LE!$F$4:$F$200)+SUMIF(LN!$C$4:$C$48,C56,LN!$F$4:$F$48)+SUMIF(LCE!$C$4:$C$40,C56,LCE!$F$4:$F$40)+SUMIF(LI!$C$4:$C$55,C56,LI!$F$4:$F$55)+SUMIF(LAP!$C$4:$C$45,C56,LAP!$F$4:$F$45)+SUMIF(LGDM!$C$4:$C$22,C56,LGDM!$F$4:$F$22)+SUMIF(LAM!$C$4:$C$18,C56,LAM!$F$4:$F$18)+SUMIF(DEP!$C$4:$C$55,C56,DEP!$F$4:$F$55)</f>
        <v>64</v>
      </c>
      <c r="Q56" s="243">
        <f>SUMIF(LCB!$C$4:$C$45,C56,LCB!$E$4:$E$45)+SUMIF(LM!$C$4:$C$140,C56,LM!$E$4:$E$140)+SUMIF(LO!$C$4:$C$230,C56,LO!$E$4:$E$230)+SUMIF(LE!$C$4:$C$200,C56,LE!$E$4:$E$200)+SUMIF(LN!$C$4:$C$48,C56,LN!$E$4:$E$48)+SUMIF(LCE!$C$4:$C$40,C56,LCE!$E$4:$E$40)+SUMIF(LI!$C$4:$C$55,C56,LI!$E$4:$E$55)+SUMIF(LAP!$C$4:$C$45,C56,LAP!$E$4:$E$45)+SUMIF(LGDM!$C$4:$C$15,C56,LGDM!$E$4:$E$15)+SUMIF(LAM!$C$5:$C$18,C56,LAM!$E$5:$E$18)+SUMIF(DEP!$C$4:$C$55,C56,DEP!$E$4:$E$55)</f>
        <v>10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ht="13.5" customHeight="1">
      <c r="A57" s="11"/>
      <c r="B57" s="107">
        <v>2.0</v>
      </c>
      <c r="C57" s="38" t="s">
        <v>294</v>
      </c>
      <c r="D57" s="288">
        <f t="shared" si="3"/>
        <v>5</v>
      </c>
      <c r="E57" s="243">
        <f>COUNTIF(LCB!$C$4:$C$40,C57)</f>
        <v>0</v>
      </c>
      <c r="F57" s="243">
        <f>COUNTIF(LM!$C$4:$C$144,C57)</f>
        <v>0</v>
      </c>
      <c r="G57" s="243">
        <f>COUNTIF(LO!$C$4:$C$227,C57)</f>
        <v>5</v>
      </c>
      <c r="H57" s="243">
        <f>COUNTIF(LE!$C$4:$C$214,C57)</f>
        <v>0</v>
      </c>
      <c r="I57" s="289">
        <f>COUNTIF(LN!$C$4:$C$53,C57)</f>
        <v>0</v>
      </c>
      <c r="J57" s="289">
        <f>COUNTIF(LCE!$C$3:$C$43,C57)</f>
        <v>0</v>
      </c>
      <c r="K57" s="289">
        <f>COUNTIF(LI!$C$4:$C$60,C57)</f>
        <v>0</v>
      </c>
      <c r="L57" s="289">
        <f>COUNTIF(LAP!$C$5:$C$45,C57)</f>
        <v>0</v>
      </c>
      <c r="M57" s="289">
        <f>COUNTIF(LGDM!$C$4:$C$22,C57)</f>
        <v>0</v>
      </c>
      <c r="N57" s="289">
        <f>COUNTIF(LAM!$C$5:$C$21,C57)</f>
        <v>0</v>
      </c>
      <c r="O57" s="243">
        <f>COUNTIF(DEP!$C$3:$C$61,C57)</f>
        <v>0</v>
      </c>
      <c r="P57" s="291">
        <f>SUMIF(LCB!$C$4:$C$45,C57,LCB!$F$4:$F$45)+SUMIF(LM!$C$4:$C$140,C57,LM!$F$4:$F$140)+SUMIF(LO!$C$4:$C$230,C57,LO!$F$4:$F$230)+SUMIF(LE!$C$4:$C$200,C57,LE!$F$4:$F$200)+SUMIF(LN!$C$4:$C$48,C57,LN!$F$4:$F$48)+SUMIF(LCE!$C$4:$C$40,C57,LCE!$F$4:$F$40)+SUMIF(LI!$C$4:$C$55,C57,LI!$F$4:$F$55)+SUMIF(LAP!$C$4:$C$45,C57,LAP!$F$4:$F$45)+SUMIF(LGDM!$C$4:$C$22,C57,LGDM!$F$4:$F$22)+SUMIF(LAM!$C$4:$C$18,C57,LAM!$F$4:$F$18)+SUMIF(DEP!$C$4:$C$55,C57,DEP!$F$4:$F$55)</f>
        <v>128</v>
      </c>
      <c r="Q57" s="243">
        <f>SUMIF(LCB!$C$4:$C$45,C57,LCB!$E$4:$E$45)+SUMIF(LM!$C$4:$C$140,C57,LM!$E$4:$E$140)+SUMIF(LO!$C$4:$C$230,C57,LO!$E$4:$E$230)+SUMIF(LE!$C$4:$C$200,C57,LE!$E$4:$E$200)+SUMIF(LN!$C$4:$C$48,C57,LN!$E$4:$E$48)+SUMIF(LCE!$C$4:$C$40,C57,LCE!$E$4:$E$40)+SUMIF(LI!$C$4:$C$55,C57,LI!$E$4:$E$55)+SUMIF(LAP!$C$4:$C$45,C57,LAP!$E$4:$E$45)+SUMIF(LGDM!$C$4:$C$15,C57,LGDM!$E$4:$E$15)+SUMIF(LAM!$C$5:$C$18,C57,LAM!$E$5:$E$18)+SUMIF(DEP!$C$4:$C$55,C57,DEP!$E$4:$E$55)</f>
        <v>30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3.5" customHeight="1">
      <c r="A58" s="11"/>
      <c r="B58" s="107">
        <v>3.0</v>
      </c>
      <c r="C58" s="38" t="s">
        <v>198</v>
      </c>
      <c r="D58" s="288">
        <f t="shared" si="3"/>
        <v>5</v>
      </c>
      <c r="E58" s="243">
        <f>COUNTIF(LCB!$C$4:$C$40,C58)</f>
        <v>0</v>
      </c>
      <c r="F58" s="243">
        <f>COUNTIF(LM!$C$4:$C$144,C58)</f>
        <v>0</v>
      </c>
      <c r="G58" s="243">
        <f>COUNTIF(LO!$C$4:$C$227,C58)</f>
        <v>5</v>
      </c>
      <c r="H58" s="243">
        <f>COUNTIF(LE!$C$4:$C$214,C58)</f>
        <v>0</v>
      </c>
      <c r="I58" s="289">
        <f>COUNTIF(LN!$C$4:$C$53,C58)</f>
        <v>0</v>
      </c>
      <c r="J58" s="289">
        <f>COUNTIF(LCE!$C$3:$C$43,C58)</f>
        <v>0</v>
      </c>
      <c r="K58" s="289">
        <f>COUNTIF(LI!$C$4:$C$60,C58)</f>
        <v>0</v>
      </c>
      <c r="L58" s="289">
        <f>COUNTIF(LAP!$C$5:$C$45,C58)</f>
        <v>0</v>
      </c>
      <c r="M58" s="289">
        <f>COUNTIF(LGDM!$C$4:$C$22,C58)</f>
        <v>0</v>
      </c>
      <c r="N58" s="289">
        <f>COUNTIF(LAM!$C$5:$C$21,C58)</f>
        <v>0</v>
      </c>
      <c r="O58" s="243">
        <f>COUNTIF(DEP!$C$3:$C$61,C58)</f>
        <v>0</v>
      </c>
      <c r="P58" s="291">
        <f>SUMIF(LCB!$C$4:$C$45,C58,LCB!$F$4:$F$45)+SUMIF(LM!$C$4:$C$140,C58,LM!$F$4:$F$140)+SUMIF(LO!$C$4:$C$230,C58,LO!$F$4:$F$230)+SUMIF(LE!$C$4:$C$200,C58,LE!$F$4:$F$200)+SUMIF(LN!$C$4:$C$48,C58,LN!$F$4:$F$48)+SUMIF(LCE!$C$4:$C$40,C58,LCE!$F$4:$F$40)+SUMIF(LI!$C$4:$C$55,C58,LI!$F$4:$F$55)+SUMIF(LAP!$C$4:$C$45,C58,LAP!$F$4:$F$45)+SUMIF(LGDM!$C$4:$C$22,C58,LGDM!$F$4:$F$22)+SUMIF(LAM!$C$4:$C$18,C58,LAM!$F$4:$F$18)+SUMIF(DEP!$C$4:$C$55,C58,DEP!$F$4:$F$55)</f>
        <v>144</v>
      </c>
      <c r="Q58" s="243">
        <f>SUMIF(LCB!$C$4:$C$45,C58,LCB!$E$4:$E$45)+SUMIF(LM!$C$4:$C$140,C58,LM!$E$4:$E$140)+SUMIF(LO!$C$4:$C$230,C58,LO!$E$4:$E$230)+SUMIF(LE!$C$4:$C$200,C58,LE!$E$4:$E$200)+SUMIF(LN!$C$4:$C$48,C58,LN!$E$4:$E$48)+SUMIF(LCE!$C$4:$C$40,C58,LCE!$E$4:$E$40)+SUMIF(LI!$C$4:$C$55,C58,LI!$E$4:$E$55)+SUMIF(LAP!$C$4:$C$45,C58,LAP!$E$4:$E$45)+SUMIF(LGDM!$C$4:$C$15,C58,LGDM!$E$4:$E$15)+SUMIF(LAM!$C$5:$C$18,C58,LAM!$E$5:$E$18)+SUMIF(DEP!$C$4:$C$55,C58,DEP!$E$4:$E$55)</f>
        <v>30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ht="13.5" customHeight="1">
      <c r="A59" s="11"/>
      <c r="B59" s="107">
        <v>4.0</v>
      </c>
      <c r="C59" s="38" t="s">
        <v>195</v>
      </c>
      <c r="D59" s="288">
        <f t="shared" si="3"/>
        <v>5</v>
      </c>
      <c r="E59" s="243">
        <f>COUNTIF(LCB!$C$4:$C$40,C59)</f>
        <v>0</v>
      </c>
      <c r="F59" s="243">
        <f>COUNTIF(LM!$C$4:$C$144,C59)</f>
        <v>0</v>
      </c>
      <c r="G59" s="243">
        <f>COUNTIF(LO!$C$4:$C$227,C59)</f>
        <v>5</v>
      </c>
      <c r="H59" s="243">
        <f>COUNTIF(LE!$C$4:$C$214,C59)</f>
        <v>0</v>
      </c>
      <c r="I59" s="289">
        <f>COUNTIF(LN!$C$4:$C$53,C59)</f>
        <v>0</v>
      </c>
      <c r="J59" s="289">
        <f>COUNTIF(LCE!$C$3:$C$43,C59)</f>
        <v>0</v>
      </c>
      <c r="K59" s="289">
        <f>COUNTIF(LI!$C$4:$C$60,C59)</f>
        <v>0</v>
      </c>
      <c r="L59" s="289">
        <f>COUNTIF(LAP!$C$5:$C$45,C59)</f>
        <v>0</v>
      </c>
      <c r="M59" s="289">
        <f>COUNTIF(LGDM!$C$4:$C$22,C59)</f>
        <v>0</v>
      </c>
      <c r="N59" s="289">
        <f>COUNTIF(LAM!$C$5:$C$21,C59)</f>
        <v>0</v>
      </c>
      <c r="O59" s="243">
        <f>COUNTIF(DEP!$C$3:$C$61,C59)</f>
        <v>0</v>
      </c>
      <c r="P59" s="291">
        <f>SUMIF(LCB!$C$4:$C$45,C59,LCB!$F$4:$F$45)+SUMIF(LM!$C$4:$C$140,C59,LM!$F$4:$F$140)+SUMIF(LO!$C$4:$C$230,C59,LO!$F$4:$F$230)+SUMIF(LE!$C$4:$C$200,C59,LE!$F$4:$F$200)+SUMIF(LN!$C$4:$C$48,C59,LN!$F$4:$F$48)+SUMIF(LCE!$C$4:$C$40,C59,LCE!$F$4:$F$40)+SUMIF(LI!$C$4:$C$55,C59,LI!$F$4:$F$55)+SUMIF(LAP!$C$4:$C$45,C59,LAP!$F$4:$F$45)+SUMIF(LGDM!$C$4:$C$22,C59,LGDM!$F$4:$F$22)+SUMIF(LAM!$C$4:$C$18,C59,LAM!$F$4:$F$18)+SUMIF(DEP!$C$4:$C$55,C59,DEP!$F$4:$F$55)</f>
        <v>144</v>
      </c>
      <c r="Q59" s="243">
        <f>SUMIF(LCB!$C$4:$C$45,C59,LCB!$E$4:$E$45)+SUMIF(LM!$C$4:$C$140,C59,LM!$E$4:$E$140)+SUMIF(LO!$C$4:$C$230,C59,LO!$E$4:$E$230)+SUMIF(LE!$C$4:$C$200,C59,LE!$E$4:$E$200)+SUMIF(LN!$C$4:$C$48,C59,LN!$E$4:$E$48)+SUMIF(LCE!$C$4:$C$40,C59,LCE!$E$4:$E$40)+SUMIF(LI!$C$4:$C$55,C59,LI!$E$4:$E$55)+SUMIF(LAP!$C$4:$C$45,C59,LAP!$E$4:$E$45)+SUMIF(LGDM!$C$4:$C$15,C59,LGDM!$E$4:$E$15)+SUMIF(LAM!$C$5:$C$18,C59,LAM!$E$5:$E$18)+SUMIF(DEP!$C$4:$C$55,C59,DEP!$E$4:$E$55)</f>
        <v>30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ht="13.5" customHeight="1">
      <c r="A60" s="11"/>
      <c r="B60" s="107">
        <v>5.0</v>
      </c>
      <c r="C60" s="40" t="s">
        <v>313</v>
      </c>
      <c r="D60" s="288">
        <f t="shared" si="3"/>
        <v>4</v>
      </c>
      <c r="E60" s="243">
        <f>COUNTIF(LCB!$C$4:$C$40,C60)</f>
        <v>0</v>
      </c>
      <c r="F60" s="243">
        <f>COUNTIF(LM!$C$4:$C$144,C60)</f>
        <v>0</v>
      </c>
      <c r="G60" s="243">
        <f>COUNTIF(LO!$C$4:$C$227,C60)</f>
        <v>4</v>
      </c>
      <c r="H60" s="243">
        <f>COUNTIF(LE!$C$4:$C$214,C60)</f>
        <v>0</v>
      </c>
      <c r="I60" s="289">
        <f>COUNTIF(LN!$C$4:$C$53,C60)</f>
        <v>0</v>
      </c>
      <c r="J60" s="289">
        <f>COUNTIF(LCE!$C$3:$C$43,C60)</f>
        <v>0</v>
      </c>
      <c r="K60" s="289">
        <f>COUNTIF(LI!$C$4:$C$60,C60)</f>
        <v>0</v>
      </c>
      <c r="L60" s="289">
        <f>COUNTIF(LAP!$C$5:$C$45,C60)</f>
        <v>0</v>
      </c>
      <c r="M60" s="289">
        <f>COUNTIF(LGDM!$C$4:$C$22,C60)</f>
        <v>0</v>
      </c>
      <c r="N60" s="289">
        <f>COUNTIF(LAM!$C$5:$C$21,C60)</f>
        <v>0</v>
      </c>
      <c r="O60" s="243">
        <f>COUNTIF(DEP!$C$3:$C$61,C60)</f>
        <v>0</v>
      </c>
      <c r="P60" s="291">
        <f>SUMIF(LCB!$C$4:$C$45,C60,LCB!$F$4:$F$45)+SUMIF(LM!$C$4:$C$140,C60,LM!$F$4:$F$140)+SUMIF(LO!$C$4:$C$230,C60,LO!$F$4:$F$230)+SUMIF(LE!$C$4:$C$200,C60,LE!$F$4:$F$200)+SUMIF(LN!$C$4:$C$48,C60,LN!$F$4:$F$48)+SUMIF(LCE!$C$4:$C$40,C60,LCE!$F$4:$F$40)+SUMIF(LI!$C$4:$C$55,C60,LI!$F$4:$F$55)+SUMIF(LAP!$C$4:$C$45,C60,LAP!$F$4:$F$45)+SUMIF(LGDM!$C$4:$C$22,C60,LGDM!$F$4:$F$22)+SUMIF(LAM!$C$4:$C$18,C60,LAM!$F$4:$F$18)+SUMIF(DEP!$C$4:$C$55,C60,DEP!$F$4:$F$55)</f>
        <v>96</v>
      </c>
      <c r="Q60" s="243">
        <f>SUMIF(LCB!$C$4:$C$45,C60,LCB!$E$4:$E$45)+SUMIF(LM!$C$4:$C$140,C60,LM!$E$4:$E$140)+SUMIF(LO!$C$4:$C$230,C60,LO!$E$4:$E$230)+SUMIF(LE!$C$4:$C$200,C60,LE!$E$4:$E$200)+SUMIF(LN!$C$4:$C$48,C60,LN!$E$4:$E$48)+SUMIF(LCE!$C$4:$C$40,C60,LCE!$E$4:$E$40)+SUMIF(LI!$C$4:$C$55,C60,LI!$E$4:$E$55)+SUMIF(LAP!$C$4:$C$45,C60,LAP!$E$4:$E$45)+SUMIF(LGDM!$C$4:$C$15,C60,LGDM!$E$4:$E$15)+SUMIF(LAM!$C$5:$C$18,C60,LAM!$E$5:$E$18)+SUMIF(DEP!$C$4:$C$55,C60,DEP!$E$4:$E$55)</f>
        <v>25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ht="13.5" customHeight="1">
      <c r="A61" s="11"/>
      <c r="B61" s="107">
        <v>6.0</v>
      </c>
      <c r="C61" s="38" t="s">
        <v>182</v>
      </c>
      <c r="D61" s="288">
        <f t="shared" si="3"/>
        <v>4</v>
      </c>
      <c r="E61" s="243">
        <f>COUNTIF(LCB!$C$4:$C$40,C61)</f>
        <v>0</v>
      </c>
      <c r="F61" s="243">
        <f>COUNTIF(LM!$C$4:$C$144,C61)</f>
        <v>0</v>
      </c>
      <c r="G61" s="243">
        <f>COUNTIF(LO!$C$4:$C$227,C61)</f>
        <v>3</v>
      </c>
      <c r="H61" s="243">
        <f>COUNTIF(LE!$C$4:$C$214,C61)</f>
        <v>0</v>
      </c>
      <c r="I61" s="289">
        <f>COUNTIF(LN!$C$4:$C$53,C61)</f>
        <v>0</v>
      </c>
      <c r="J61" s="289">
        <f>COUNTIF(LCE!$C$3:$C$43,C61)</f>
        <v>0</v>
      </c>
      <c r="K61" s="289">
        <f>COUNTIF(LI!$C$4:$C$60,C61)</f>
        <v>0</v>
      </c>
      <c r="L61" s="289">
        <f>COUNTIF(LAP!$C$5:$C$45,C61)</f>
        <v>0</v>
      </c>
      <c r="M61" s="289">
        <f>COUNTIF(LGDM!$C$4:$C$22,C61)</f>
        <v>0</v>
      </c>
      <c r="N61" s="289">
        <f>COUNTIF(LAM!$C$5:$C$21,C61)</f>
        <v>0</v>
      </c>
      <c r="O61" s="243">
        <f>COUNTIF(DEP!$C$3:$C$61,C61)</f>
        <v>1</v>
      </c>
      <c r="P61" s="291">
        <f>SUMIF(LCB!$C$4:$C$45,C61,LCB!$F$4:$F$45)+SUMIF(LM!$C$4:$C$140,C61,LM!$F$4:$F$140)+SUMIF(LO!$C$4:$C$230,C61,LO!$F$4:$F$230)+SUMIF(LE!$C$4:$C$200,C61,LE!$F$4:$F$200)+SUMIF(LN!$C$4:$C$48,C61,LN!$F$4:$F$48)+SUMIF(LCE!$C$4:$C$40,C61,LCE!$F$4:$F$40)+SUMIF(LI!$C$4:$C$55,C61,LI!$F$4:$F$55)+SUMIF(LAP!$C$4:$C$45,C61,LAP!$F$4:$F$45)+SUMIF(LGDM!$C$4:$C$22,C61,LGDM!$F$4:$F$22)+SUMIF(LAM!$C$4:$C$18,C61,LAM!$F$4:$F$18)+SUMIF(DEP!$C$4:$C$55,C61,DEP!$F$4:$F$55)</f>
        <v>120</v>
      </c>
      <c r="Q61" s="243">
        <f>SUMIF(LCB!$C$4:$C$45,C61,LCB!$E$4:$E$45)+SUMIF(LM!$C$4:$C$140,C61,LM!$E$4:$E$140)+SUMIF(LO!$C$4:$C$230,C61,LO!$E$4:$E$230)+SUMIF(LE!$C$4:$C$200,C61,LE!$E$4:$E$200)+SUMIF(LN!$C$4:$C$48,C61,LN!$E$4:$E$48)+SUMIF(LCE!$C$4:$C$40,C61,LCE!$E$4:$E$40)+SUMIF(LI!$C$4:$C$55,C61,LI!$E$4:$E$55)+SUMIF(LAP!$C$4:$C$45,C61,LAP!$E$4:$E$45)+SUMIF(LGDM!$C$4:$C$15,C61,LGDM!$E$4:$E$15)+SUMIF(LAM!$C$5:$C$18,C61,LAM!$E$5:$E$18)+SUMIF(DEP!$C$4:$C$55,C61,DEP!$E$4:$E$55)</f>
        <v>19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ht="13.5" customHeight="1">
      <c r="A62" s="11"/>
      <c r="B62" s="107">
        <v>7.0</v>
      </c>
      <c r="C62" s="1" t="s">
        <v>170</v>
      </c>
      <c r="D62" s="288">
        <f t="shared" si="3"/>
        <v>4</v>
      </c>
      <c r="E62" s="243">
        <f>COUNTIF(LCB!$C$4:$C$40,C62)</f>
        <v>0</v>
      </c>
      <c r="F62" s="243">
        <f>COUNTIF(LM!$C$4:$C$144,C62)</f>
        <v>0</v>
      </c>
      <c r="G62" s="243">
        <f>COUNTIF(LO!$C$4:$C$227,C62)</f>
        <v>4</v>
      </c>
      <c r="H62" s="243">
        <f>COUNTIF(LE!$C$4:$C$214,C62)</f>
        <v>0</v>
      </c>
      <c r="I62" s="289">
        <f>COUNTIF(LN!$C$4:$C$53,C62)</f>
        <v>0</v>
      </c>
      <c r="J62" s="289">
        <f>COUNTIF(LCE!$C$3:$C$43,C62)</f>
        <v>0</v>
      </c>
      <c r="K62" s="289">
        <f>COUNTIF(LI!$C$4:$C$60,C62)</f>
        <v>0</v>
      </c>
      <c r="L62" s="289">
        <f>COUNTIF(LAP!$C$5:$C$45,C62)</f>
        <v>0</v>
      </c>
      <c r="M62" s="289">
        <f>COUNTIF(LGDM!$C$4:$C$22,C62)</f>
        <v>0</v>
      </c>
      <c r="N62" s="289">
        <f>COUNTIF(LAM!$C$5:$C$21,C62)</f>
        <v>0</v>
      </c>
      <c r="O62" s="243">
        <f>COUNTIF(DEP!$C$3:$C$61,C62)</f>
        <v>0</v>
      </c>
      <c r="P62" s="291">
        <f>SUMIF(LCB!$C$4:$C$45,C62,LCB!$F$4:$F$45)+SUMIF(LM!$C$4:$C$140,C62,LM!$F$4:$F$140)+SUMIF(LO!$C$4:$C$230,C62,LO!$F$4:$F$230)+SUMIF(LE!$C$4:$C$200,C62,LE!$F$4:$F$200)+SUMIF(LN!$C$4:$C$48,C62,LN!$F$4:$F$48)+SUMIF(LCE!$C$4:$C$40,C62,LCE!$F$4:$F$40)+SUMIF(LI!$C$4:$C$55,C62,LI!$F$4:$F$55)+SUMIF(LAP!$C$4:$C$45,C62,LAP!$F$4:$F$45)+SUMIF(LGDM!$C$4:$C$22,C62,LGDM!$F$4:$F$22)+SUMIF(LAM!$C$4:$C$18,C62,LAM!$F$4:$F$18)+SUMIF(DEP!$C$4:$C$55,C62,DEP!$F$4:$F$55)</f>
        <v>102</v>
      </c>
      <c r="Q62" s="243">
        <f>SUMIF(LCB!$C$4:$C$45,C62,LCB!$E$4:$E$45)+SUMIF(LM!$C$4:$C$140,C62,LM!$E$4:$E$140)+SUMIF(LO!$C$4:$C$230,C62,LO!$E$4:$E$230)+SUMIF(LE!$C$4:$C$200,C62,LE!$E$4:$E$200)+SUMIF(LN!$C$4:$C$48,C62,LN!$E$4:$E$48)+SUMIF(LCE!$C$4:$C$40,C62,LCE!$E$4:$E$40)+SUMIF(LI!$C$4:$C$55,C62,LI!$E$4:$E$55)+SUMIF(LAP!$C$4:$C$45,C62,LAP!$E$4:$E$45)+SUMIF(LGDM!$C$4:$C$15,C62,LGDM!$E$4:$E$15)+SUMIF(LAM!$C$5:$C$18,C62,LAM!$E$5:$E$18)+SUMIF(DEP!$C$4:$C$55,C62,DEP!$E$4:$E$55)</f>
        <v>25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ht="13.5" customHeight="1">
      <c r="A63" s="11"/>
      <c r="B63" s="107">
        <v>8.0</v>
      </c>
      <c r="C63" s="353" t="s">
        <v>44</v>
      </c>
      <c r="D63" s="288">
        <f t="shared" si="3"/>
        <v>5</v>
      </c>
      <c r="E63" s="243">
        <f>COUNTIF(LCB!$C$4:$C$40,C63)</f>
        <v>0</v>
      </c>
      <c r="F63" s="243">
        <f>COUNTIF(LM!$C$4:$C$144,C63)</f>
        <v>0</v>
      </c>
      <c r="G63" s="243">
        <f>COUNTIF(LO!$C$4:$C$227,C63)</f>
        <v>5</v>
      </c>
      <c r="H63" s="243">
        <f>COUNTIF(LE!$C$4:$C$214,C63)</f>
        <v>0</v>
      </c>
      <c r="I63" s="289">
        <f>COUNTIF(LN!$C$4:$C$53,C63)</f>
        <v>0</v>
      </c>
      <c r="J63" s="289">
        <f>COUNTIF(LCE!$C$3:$C$43,C63)</f>
        <v>0</v>
      </c>
      <c r="K63" s="289">
        <f>COUNTIF(LI!$C$4:$C$60,C63)</f>
        <v>0</v>
      </c>
      <c r="L63" s="289">
        <f>COUNTIF(LAP!$C$5:$C$45,C63)</f>
        <v>0</v>
      </c>
      <c r="M63" s="289">
        <f>COUNTIF(LGDM!$C$4:$C$22,C63)</f>
        <v>0</v>
      </c>
      <c r="N63" s="289">
        <f>COUNTIF(LAM!$C$5:$C$21,C63)</f>
        <v>0</v>
      </c>
      <c r="O63" s="243">
        <f>COUNTIF(DEP!$C$3:$C$61,C63)</f>
        <v>0</v>
      </c>
      <c r="P63" s="291">
        <f>SUMIF(LCB!$C$4:$C$45,C63,LCB!$F$4:$F$45)+SUMIF(LM!$C$4:$C$140,C63,LM!$F$4:$F$140)+SUMIF(LO!$C$4:$C$230,C63,LO!$F$4:$F$230)+SUMIF(LE!$C$4:$C$200,C63,LE!$F$4:$F$200)+SUMIF(LN!$C$4:$C$48,C63,LN!$F$4:$F$48)+SUMIF(LCE!$C$4:$C$40,C63,LCE!$F$4:$F$40)+SUMIF(LI!$C$4:$C$55,C63,LI!$F$4:$F$55)+SUMIF(LAP!$C$4:$C$45,C63,LAP!$F$4:$F$45)+SUMIF(LGDM!$C$4:$C$22,C63,LGDM!$F$4:$F$22)+SUMIF(LAM!$C$4:$C$18,C63,LAM!$F$4:$F$18)+SUMIF(DEP!$C$4:$C$55,C63,DEP!$F$4:$F$55)</f>
        <v>80</v>
      </c>
      <c r="Q63" s="243">
        <f>SUMIF(LCB!$C$4:$C$45,C63,LCB!$E$4:$E$45)+SUMIF(LM!$C$4:$C$140,C63,LM!$E$4:$E$140)+SUMIF(LO!$C$4:$C$230,C63,LO!$E$4:$E$230)+SUMIF(LE!$C$4:$C$200,C63,LE!$E$4:$E$200)+SUMIF(LN!$C$4:$C$48,C63,LN!$E$4:$E$48)+SUMIF(LCE!$C$4:$C$40,C63,LCE!$E$4:$E$40)+SUMIF(LI!$C$4:$C$55,C63,LI!$E$4:$E$55)+SUMIF(LAP!$C$4:$C$45,C63,LAP!$E$4:$E$45)+SUMIF(LGDM!$C$4:$C$15,C63,LGDM!$E$4:$E$15)+SUMIF(LAM!$C$5:$C$18,C63,LAM!$E$5:$E$18)+SUMIF(DEP!$C$4:$C$55,C63,DEP!$E$4:$E$55)</f>
        <v>32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ht="13.5" customHeight="1">
      <c r="A64" s="11"/>
      <c r="B64" s="107">
        <v>9.0</v>
      </c>
      <c r="C64" s="354" t="s">
        <v>225</v>
      </c>
      <c r="D64" s="288">
        <f t="shared" si="3"/>
        <v>5</v>
      </c>
      <c r="E64" s="243">
        <f>COUNTIF(LCB!$C$4:$C$40,C64)</f>
        <v>0</v>
      </c>
      <c r="F64" s="243">
        <f>COUNTIF(LM!$C$4:$C$144,C64)</f>
        <v>0</v>
      </c>
      <c r="G64" s="243">
        <f>COUNTIF(LO!$C$4:$C$227,C64)</f>
        <v>5</v>
      </c>
      <c r="H64" s="243">
        <f>COUNTIF(LE!$C$4:$C$214,C64)</f>
        <v>0</v>
      </c>
      <c r="I64" s="289">
        <f>COUNTIF(LN!$C$4:$C$53,C64)</f>
        <v>0</v>
      </c>
      <c r="J64" s="289">
        <f>COUNTIF(LCE!$C$3:$C$43,C64)</f>
        <v>0</v>
      </c>
      <c r="K64" s="289">
        <f>COUNTIF(LI!$C$4:$C$60,C64)</f>
        <v>0</v>
      </c>
      <c r="L64" s="289">
        <f>COUNTIF(LAP!$C$5:$C$45,C64)</f>
        <v>0</v>
      </c>
      <c r="M64" s="289">
        <f>COUNTIF(LGDM!$C$4:$C$22,C64)</f>
        <v>0</v>
      </c>
      <c r="N64" s="289">
        <f>COUNTIF(LAM!$C$5:$C$21,C64)</f>
        <v>0</v>
      </c>
      <c r="O64" s="243">
        <f>COUNTIF(DEP!$C$3:$C$61,C64)</f>
        <v>0</v>
      </c>
      <c r="P64" s="291">
        <f>SUMIF(LCB!$C$4:$C$45,C64,LCB!$F$4:$F$45)+SUMIF(LM!$C$4:$C$140,C64,LM!$F$4:$F$140)+SUMIF(LO!$C$4:$C$230,C64,LO!$F$4:$F$230)+SUMIF(LE!$C$4:$C$200,C64,LE!$F$4:$F$200)+SUMIF(LN!$C$4:$C$48,C64,LN!$F$4:$F$48)+SUMIF(LCE!$C$4:$C$40,C64,LCE!$F$4:$F$40)+SUMIF(LI!$C$4:$C$55,C64,LI!$F$4:$F$55)+SUMIF(LAP!$C$4:$C$45,C64,LAP!$F$4:$F$45)+SUMIF(LGDM!$C$4:$C$22,C64,LGDM!$F$4:$F$22)+SUMIF(LAM!$C$4:$C$18,C64,LAM!$F$4:$F$18)+SUMIF(DEP!$C$4:$C$55,C64,DEP!$F$4:$F$55)</f>
        <v>136</v>
      </c>
      <c r="Q64" s="243">
        <f>SUMIF(LCB!$C$4:$C$45,C64,LCB!$E$4:$E$45)+SUMIF(LM!$C$4:$C$140,C64,LM!$E$4:$E$140)+SUMIF(LO!$C$4:$C$230,C64,LO!$E$4:$E$230)+SUMIF(LE!$C$4:$C$200,C64,LE!$E$4:$E$200)+SUMIF(LN!$C$4:$C$48,C64,LN!$E$4:$E$48)+SUMIF(LCE!$C$4:$C$40,C64,LCE!$E$4:$E$40)+SUMIF(LI!$C$4:$C$55,C64,LI!$E$4:$E$55)+SUMIF(LAP!$C$4:$C$45,C64,LAP!$E$4:$E$45)+SUMIF(LGDM!$C$4:$C$15,C64,LGDM!$E$4:$E$15)+SUMIF(LAM!$C$5:$C$18,C64,LAM!$E$5:$E$18)+SUMIF(DEP!$C$4:$C$55,C64,DEP!$E$4:$E$55)</f>
        <v>30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ht="13.5" customHeight="1">
      <c r="A65" s="11"/>
      <c r="B65" s="107">
        <v>10.0</v>
      </c>
      <c r="C65" s="354" t="s">
        <v>62</v>
      </c>
      <c r="D65" s="288">
        <f t="shared" si="3"/>
        <v>5</v>
      </c>
      <c r="E65" s="243">
        <f>COUNTIF(LCB!$C$4:$C$40,C65)</f>
        <v>0</v>
      </c>
      <c r="F65" s="243">
        <f>COUNTIF(LM!$C$4:$C$144,C65)</f>
        <v>0</v>
      </c>
      <c r="G65" s="243">
        <f>COUNTIF(LO!$C$4:$C$227,C65)</f>
        <v>5</v>
      </c>
      <c r="H65" s="243">
        <f>COUNTIF(LE!$C$4:$C$214,C65)</f>
        <v>0</v>
      </c>
      <c r="I65" s="289">
        <f>COUNTIF(LN!$C$4:$C$53,C65)</f>
        <v>0</v>
      </c>
      <c r="J65" s="289">
        <f>COUNTIF(LCE!$C$3:$C$43,C65)</f>
        <v>0</v>
      </c>
      <c r="K65" s="289">
        <f>COUNTIF(LI!$C$4:$C$60,C65)</f>
        <v>0</v>
      </c>
      <c r="L65" s="289">
        <f>COUNTIF(LAP!$C$5:$C$45,C65)</f>
        <v>0</v>
      </c>
      <c r="M65" s="289">
        <f>COUNTIF(LGDM!$C$4:$C$22,C65)</f>
        <v>0</v>
      </c>
      <c r="N65" s="289">
        <f>COUNTIF(LAM!$C$5:$C$21,C65)</f>
        <v>0</v>
      </c>
      <c r="O65" s="243">
        <f>COUNTIF(DEP!$C$3:$C$61,C65)</f>
        <v>0</v>
      </c>
      <c r="P65" s="291">
        <f>SUMIF(LCB!$C$4:$C$45,C65,LCB!$F$4:$F$45)+SUMIF(LM!$C$4:$C$140,C65,LM!$F$4:$F$140)+SUMIF(LO!$C$4:$C$230,C65,LO!$F$4:$F$230)+SUMIF(LE!$C$4:$C$200,C65,LE!$F$4:$F$200)+SUMIF(LN!$C$4:$C$48,C65,LN!$F$4:$F$48)+SUMIF(LCE!$C$4:$C$40,C65,LCE!$F$4:$F$40)+SUMIF(LI!$C$4:$C$55,C65,LI!$F$4:$F$55)+SUMIF(LAP!$C$4:$C$45,C65,LAP!$F$4:$F$45)+SUMIF(LGDM!$C$4:$C$22,C65,LGDM!$F$4:$F$22)+SUMIF(LAM!$C$4:$C$18,C65,LAM!$F$4:$F$18)+SUMIF(DEP!$C$4:$C$55,C65,DEP!$F$4:$F$55)</f>
        <v>80</v>
      </c>
      <c r="Q65" s="243">
        <f>SUMIF(LCB!$C$4:$C$45,C65,LCB!$E$4:$E$45)+SUMIF(LM!$C$4:$C$140,C65,LM!$E$4:$E$140)+SUMIF(LO!$C$4:$C$230,C65,LO!$E$4:$E$230)+SUMIF(LE!$C$4:$C$200,C65,LE!$E$4:$E$200)+SUMIF(LN!$C$4:$C$48,C65,LN!$E$4:$E$48)+SUMIF(LCE!$C$4:$C$40,C65,LCE!$E$4:$E$40)+SUMIF(LI!$C$4:$C$55,C65,LI!$E$4:$E$55)+SUMIF(LAP!$C$4:$C$45,C65,LAP!$E$4:$E$45)+SUMIF(LGDM!$C$4:$C$15,C65,LGDM!$E$4:$E$15)+SUMIF(LAM!$C$5:$C$18,C65,LAM!$E$5:$E$18)+SUMIF(DEP!$C$4:$C$55,C65,DEP!$E$4:$E$55)</f>
        <v>32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ht="13.5" customHeight="1">
      <c r="A66" s="11"/>
      <c r="B66" s="107">
        <v>11.0</v>
      </c>
      <c r="C66" s="41" t="s">
        <v>205</v>
      </c>
      <c r="D66" s="288">
        <f t="shared" si="3"/>
        <v>5</v>
      </c>
      <c r="E66" s="243">
        <f>COUNTIF(LCB!$C$4:$C$40,C66)</f>
        <v>0</v>
      </c>
      <c r="F66" s="243">
        <f>COUNTIF(LM!$C$4:$C$144,C66)</f>
        <v>0</v>
      </c>
      <c r="G66" s="243">
        <f>COUNTIF(LO!$C$4:$C$227,C66)</f>
        <v>5</v>
      </c>
      <c r="H66" s="243">
        <f>COUNTIF(LE!$C$4:$C$214,C66)</f>
        <v>0</v>
      </c>
      <c r="I66" s="289">
        <f>COUNTIF(LN!$C$4:$C$53,C66)</f>
        <v>0</v>
      </c>
      <c r="J66" s="289">
        <f>COUNTIF(LCE!$C$3:$C$43,C66)</f>
        <v>0</v>
      </c>
      <c r="K66" s="289">
        <f>COUNTIF(LI!$C$4:$C$60,C66)</f>
        <v>0</v>
      </c>
      <c r="L66" s="289">
        <f>COUNTIF(LAP!$C$5:$C$45,C66)</f>
        <v>0</v>
      </c>
      <c r="M66" s="289">
        <f>COUNTIF(LGDM!$C$4:$C$22,C66)</f>
        <v>0</v>
      </c>
      <c r="N66" s="289">
        <f>COUNTIF(LAM!$C$5:$C$21,C66)</f>
        <v>0</v>
      </c>
      <c r="O66" s="243">
        <f>COUNTIF(DEP!$C$3:$C$61,C66)</f>
        <v>0</v>
      </c>
      <c r="P66" s="291">
        <f>SUMIF(LCB!$C$4:$C$45,C66,LCB!$F$4:$F$45)+SUMIF(LM!$C$4:$C$140,C66,LM!$F$4:$F$140)+SUMIF(LO!$C$4:$C$230,C66,LO!$F$4:$F$230)+SUMIF(LE!$C$4:$C$200,C66,LE!$F$4:$F$200)+SUMIF(LN!$C$4:$C$48,C66,LN!$F$4:$F$48)+SUMIF(LCE!$C$4:$C$40,C66,LCE!$F$4:$F$40)+SUMIF(LI!$C$4:$C$55,C66,LI!$F$4:$F$55)+SUMIF(LAP!$C$4:$C$45,C66,LAP!$F$4:$F$45)+SUMIF(LGDM!$C$4:$C$22,C66,LGDM!$F$4:$F$22)+SUMIF(LAM!$C$4:$C$18,C66,LAM!$F$4:$F$18)+SUMIF(DEP!$C$4:$C$55,C66,DEP!$F$4:$F$55)</f>
        <v>152</v>
      </c>
      <c r="Q66" s="243">
        <f>SUMIF(LCB!$C$4:$C$45,C66,LCB!$E$4:$E$45)+SUMIF(LM!$C$4:$C$140,C66,LM!$E$4:$E$140)+SUMIF(LO!$C$4:$C$230,C66,LO!$E$4:$E$230)+SUMIF(LE!$C$4:$C$200,C66,LE!$E$4:$E$200)+SUMIF(LN!$C$4:$C$48,C66,LN!$E$4:$E$48)+SUMIF(LCE!$C$4:$C$40,C66,LCE!$E$4:$E$40)+SUMIF(LI!$C$4:$C$55,C66,LI!$E$4:$E$55)+SUMIF(LAP!$C$4:$C$45,C66,LAP!$E$4:$E$45)+SUMIF(LGDM!$C$4:$C$15,C66,LGDM!$E$4:$E$15)+SUMIF(LAM!$C$5:$C$18,C66,LAM!$E$5:$E$18)+SUMIF(DEP!$C$4:$C$55,C66,DEP!$E$4:$E$55)</f>
        <v>30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ht="13.5" customHeight="1">
      <c r="A67" s="11"/>
      <c r="B67" s="107">
        <v>12.0</v>
      </c>
      <c r="C67" s="354" t="s">
        <v>190</v>
      </c>
      <c r="D67" s="288">
        <f t="shared" si="3"/>
        <v>5</v>
      </c>
      <c r="E67" s="243">
        <f>COUNTIF(LCB!$C$4:$C$40,C67)</f>
        <v>0</v>
      </c>
      <c r="F67" s="243">
        <f>COUNTIF(LM!$C$4:$C$144,C67)</f>
        <v>0</v>
      </c>
      <c r="G67" s="243">
        <f>COUNTIF(LO!$C$4:$C$227,C67)</f>
        <v>5</v>
      </c>
      <c r="H67" s="243">
        <f>COUNTIF(LE!$C$4:$C$214,C67)</f>
        <v>0</v>
      </c>
      <c r="I67" s="289">
        <f>COUNTIF(LN!$C$4:$C$53,C67)</f>
        <v>0</v>
      </c>
      <c r="J67" s="289">
        <f>COUNTIF(LCE!$C$3:$C$43,C67)</f>
        <v>0</v>
      </c>
      <c r="K67" s="289">
        <f>COUNTIF(LI!$C$4:$C$60,C67)</f>
        <v>0</v>
      </c>
      <c r="L67" s="289">
        <f>COUNTIF(LAP!$C$5:$C$45,C67)</f>
        <v>0</v>
      </c>
      <c r="M67" s="289">
        <f>COUNTIF(LGDM!$C$4:$C$22,C67)</f>
        <v>0</v>
      </c>
      <c r="N67" s="289">
        <f>COUNTIF(LAM!$C$5:$C$21,C67)</f>
        <v>0</v>
      </c>
      <c r="O67" s="243">
        <f>COUNTIF(DEP!$C$3:$C$61,C67)</f>
        <v>0</v>
      </c>
      <c r="P67" s="291">
        <f>SUMIF(LCB!$C$4:$C$45,C67,LCB!$F$4:$F$45)+SUMIF(LM!$C$4:$C$140,C67,LM!$F$4:$F$140)+SUMIF(LO!$C$4:$C$230,C67,LO!$F$4:$F$230)+SUMIF(LE!$C$4:$C$200,C67,LE!$F$4:$F$200)+SUMIF(LN!$C$4:$C$48,C67,LN!$F$4:$F$48)+SUMIF(LCE!$C$4:$C$40,C67,LCE!$F$4:$F$40)+SUMIF(LI!$C$4:$C$55,C67,LI!$F$4:$F$55)+SUMIF(LAP!$C$4:$C$45,C67,LAP!$F$4:$F$45)+SUMIF(LGDM!$C$4:$C$22,C67,LGDM!$F$4:$F$22)+SUMIF(LAM!$C$4:$C$18,C67,LAM!$F$4:$F$18)+SUMIF(DEP!$C$4:$C$55,C67,DEP!$F$4:$F$55)</f>
        <v>152</v>
      </c>
      <c r="Q67" s="243">
        <f>SUMIF(LCB!$C$4:$C$45,C67,LCB!$E$4:$E$45)+SUMIF(LM!$C$4:$C$140,C67,LM!$E$4:$E$140)+SUMIF(LO!$C$4:$C$230,C67,LO!$E$4:$E$230)+SUMIF(LE!$C$4:$C$200,C67,LE!$E$4:$E$200)+SUMIF(LN!$C$4:$C$48,C67,LN!$E$4:$E$48)+SUMIF(LCE!$C$4:$C$40,C67,LCE!$E$4:$E$40)+SUMIF(LI!$C$4:$C$55,C67,LI!$E$4:$E$55)+SUMIF(LAP!$C$4:$C$45,C67,LAP!$E$4:$E$45)+SUMIF(LGDM!$C$4:$C$15,C67,LGDM!$E$4:$E$15)+SUMIF(LAM!$C$5:$C$18,C67,LAM!$E$5:$E$18)+SUMIF(DEP!$C$4:$C$55,C67,DEP!$E$4:$E$55)</f>
        <v>30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ht="13.5" customHeight="1">
      <c r="A68" s="11"/>
      <c r="B68" s="107">
        <v>13.0</v>
      </c>
      <c r="C68" s="353" t="s">
        <v>240</v>
      </c>
      <c r="D68" s="288">
        <f t="shared" si="3"/>
        <v>3</v>
      </c>
      <c r="E68" s="243">
        <f>COUNTIF(LCB!$C$4:$C$40,C68)</f>
        <v>0</v>
      </c>
      <c r="F68" s="243">
        <f>COUNTIF(LM!$C$4:$C$144,C68)</f>
        <v>0</v>
      </c>
      <c r="G68" s="243">
        <f>COUNTIF(LO!$C$4:$C$227,C68)</f>
        <v>3</v>
      </c>
      <c r="H68" s="243">
        <f>COUNTIF(LE!$C$4:$C$214,C68)</f>
        <v>0</v>
      </c>
      <c r="I68" s="289">
        <f>COUNTIF(LN!$C$4:$C$53,C68)</f>
        <v>0</v>
      </c>
      <c r="J68" s="289">
        <f>COUNTIF(LCE!$C$3:$C$43,C68)</f>
        <v>0</v>
      </c>
      <c r="K68" s="289">
        <f>COUNTIF(LI!$C$4:$C$60,C68)</f>
        <v>0</v>
      </c>
      <c r="L68" s="289">
        <f>COUNTIF(LAP!$C$5:$C$45,C68)</f>
        <v>0</v>
      </c>
      <c r="M68" s="289">
        <f>COUNTIF(LGDM!$C$4:$C$22,C68)</f>
        <v>0</v>
      </c>
      <c r="N68" s="289">
        <f>COUNTIF(LAM!$C$5:$C$21,C68)</f>
        <v>0</v>
      </c>
      <c r="O68" s="243">
        <f>COUNTIF(DEP!$C$3:$C$61,C68)</f>
        <v>0</v>
      </c>
      <c r="P68" s="291">
        <f>SUMIF(LCB!$C$4:$C$45,C68,LCB!$F$4:$F$45)+SUMIF(LM!$C$4:$C$140,C68,LM!$F$4:$F$140)+SUMIF(LO!$C$4:$C$230,C68,LO!$F$4:$F$230)+SUMIF(LE!$C$4:$C$200,C68,LE!$F$4:$F$200)+SUMIF(LN!$C$4:$C$48,C68,LN!$F$4:$F$48)+SUMIF(LCE!$C$4:$C$40,C68,LCE!$F$4:$F$40)+SUMIF(LI!$C$4:$C$55,C68,LI!$F$4:$F$55)+SUMIF(LAP!$C$4:$C$45,C68,LAP!$F$4:$F$45)+SUMIF(LGDM!$C$4:$C$22,C68,LGDM!$F$4:$F$22)+SUMIF(LAM!$C$4:$C$18,C68,LAM!$F$4:$F$18)+SUMIF(DEP!$C$4:$C$55,C68,DEP!$F$4:$F$55)</f>
        <v>62</v>
      </c>
      <c r="Q68" s="243">
        <f>SUMIF(LCB!$C$4:$C$45,C68,LCB!$E$4:$E$45)+SUMIF(LM!$C$4:$C$140,C68,LM!$E$4:$E$140)+SUMIF(LO!$C$4:$C$230,C68,LO!$E$4:$E$230)+SUMIF(LE!$C$4:$C$200,C68,LE!$E$4:$E$200)+SUMIF(LN!$C$4:$C$48,C68,LN!$E$4:$E$48)+SUMIF(LCE!$C$4:$C$40,C68,LCE!$E$4:$E$40)+SUMIF(LI!$C$4:$C$55,C68,LI!$E$4:$E$55)+SUMIF(LAP!$C$4:$C$45,C68,LAP!$E$4:$E$45)+SUMIF(LGDM!$C$4:$C$15,C68,LGDM!$E$4:$E$15)+SUMIF(LAM!$C$5:$C$18,C68,LAM!$E$5:$E$18)+SUMIF(DEP!$C$4:$C$55,C68,DEP!$E$4:$E$55)</f>
        <v>22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ht="13.5" customHeight="1">
      <c r="A69" s="11"/>
      <c r="B69" s="107">
        <v>14.0</v>
      </c>
      <c r="C69" s="355" t="s">
        <v>129</v>
      </c>
      <c r="D69" s="288">
        <f t="shared" si="3"/>
        <v>5</v>
      </c>
      <c r="E69" s="243">
        <f>COUNTIF(LCB!$C$4:$C$40,C69)</f>
        <v>0</v>
      </c>
      <c r="F69" s="243">
        <f>COUNTIF(LM!$C$4:$C$144,C69)</f>
        <v>0</v>
      </c>
      <c r="G69" s="243">
        <f>COUNTIF(LO!$C$4:$C$227,C69)</f>
        <v>5</v>
      </c>
      <c r="H69" s="243">
        <f>COUNTIF(LE!$C$4:$C$214,C69)</f>
        <v>0</v>
      </c>
      <c r="I69" s="289">
        <f>COUNTIF(LN!$C$4:$C$53,C69)</f>
        <v>0</v>
      </c>
      <c r="J69" s="289">
        <f>COUNTIF(LCE!$C$3:$C$43,C69)</f>
        <v>0</v>
      </c>
      <c r="K69" s="289">
        <f>COUNTIF(LI!$C$4:$C$60,C69)</f>
        <v>0</v>
      </c>
      <c r="L69" s="289">
        <f>COUNTIF(LAP!$C$5:$C$45,C69)</f>
        <v>0</v>
      </c>
      <c r="M69" s="289">
        <f>COUNTIF(LGDM!$C$4:$C$22,C69)</f>
        <v>0</v>
      </c>
      <c r="N69" s="289">
        <f>COUNTIF(LAM!$C$5:$C$21,C69)</f>
        <v>0</v>
      </c>
      <c r="O69" s="243">
        <f>COUNTIF(DEP!$C$3:$C$61,C69)</f>
        <v>0</v>
      </c>
      <c r="P69" s="291">
        <f>SUMIF(LCB!$C$4:$C$45,C69,LCB!$F$4:$F$45)+SUMIF(LM!$C$4:$C$140,C69,LM!$F$4:$F$140)+SUMIF(LO!$C$4:$C$230,C69,LO!$F$4:$F$230)+SUMIF(LE!$C$4:$C$200,C69,LE!$F$4:$F$200)+SUMIF(LN!$C$4:$C$48,C69,LN!$F$4:$F$48)+SUMIF(LCE!$C$4:$C$40,C69,LCE!$F$4:$F$40)+SUMIF(LI!$C$4:$C$55,C69,LI!$F$4:$F$55)+SUMIF(LAP!$C$4:$C$45,C69,LAP!$F$4:$F$45)+SUMIF(LGDM!$C$4:$C$22,C69,LGDM!$F$4:$F$22)+SUMIF(LAM!$C$4:$C$18,C69,LAM!$F$4:$F$18)+SUMIF(DEP!$C$4:$C$55,C69,DEP!$F$4:$F$55)</f>
        <v>80</v>
      </c>
      <c r="Q69" s="243">
        <f>SUMIF(LCB!$C$4:$C$45,C69,LCB!$E$4:$E$45)+SUMIF(LM!$C$4:$C$140,C69,LM!$E$4:$E$140)+SUMIF(LO!$C$4:$C$230,C69,LO!$E$4:$E$230)+SUMIF(LE!$C$4:$C$200,C69,LE!$E$4:$E$200)+SUMIF(LN!$C$4:$C$48,C69,LN!$E$4:$E$48)+SUMIF(LCE!$C$4:$C$40,C69,LCE!$E$4:$E$40)+SUMIF(LI!$C$4:$C$55,C69,LI!$E$4:$E$55)+SUMIF(LAP!$C$4:$C$45,C69,LAP!$E$4:$E$45)+SUMIF(LGDM!$C$4:$C$15,C69,LGDM!$E$4:$E$15)+SUMIF(LAM!$C$5:$C$18,C69,LAM!$E$5:$E$18)+SUMIF(DEP!$C$4:$C$55,C69,DEP!$E$4:$E$55)</f>
        <v>32</v>
      </c>
      <c r="R69" s="338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ht="13.5" customHeight="1">
      <c r="A70" s="11"/>
      <c r="B70" s="107">
        <v>15.0</v>
      </c>
      <c r="C70" s="355" t="s">
        <v>112</v>
      </c>
      <c r="D70" s="288">
        <f t="shared" si="3"/>
        <v>5</v>
      </c>
      <c r="E70" s="243">
        <f>COUNTIF(LCB!$C$4:$C$40,C70)</f>
        <v>0</v>
      </c>
      <c r="F70" s="243">
        <f>COUNTIF(LM!$C$4:$C$144,C70)</f>
        <v>0</v>
      </c>
      <c r="G70" s="243">
        <f>COUNTIF(LO!$C$4:$C$227,C70)</f>
        <v>5</v>
      </c>
      <c r="H70" s="243">
        <f>COUNTIF(LE!$C$4:$C$214,C70)</f>
        <v>0</v>
      </c>
      <c r="I70" s="289">
        <f>COUNTIF(LN!$C$4:$C$53,C70)</f>
        <v>0</v>
      </c>
      <c r="J70" s="289">
        <f>COUNTIF(LCE!$C$3:$C$43,C70)</f>
        <v>0</v>
      </c>
      <c r="K70" s="289">
        <f>COUNTIF(LI!$C$4:$C$60,C70)</f>
        <v>0</v>
      </c>
      <c r="L70" s="289">
        <f>COUNTIF(LAP!$C$5:$C$45,C70)</f>
        <v>0</v>
      </c>
      <c r="M70" s="289">
        <f>COUNTIF(LGDM!$C$4:$C$22,C70)</f>
        <v>0</v>
      </c>
      <c r="N70" s="289">
        <f>COUNTIF(LAM!$C$5:$C$21,C70)</f>
        <v>0</v>
      </c>
      <c r="O70" s="243">
        <f>COUNTIF(DEP!$C$3:$C$61,C70)</f>
        <v>0</v>
      </c>
      <c r="P70" s="291">
        <f>SUMIF(LCB!$C$4:$C$45,C70,LCB!$F$4:$F$45)+SUMIF(LM!$C$4:$C$140,C70,LM!$F$4:$F$140)+SUMIF(LO!$C$4:$C$230,C70,LO!$F$4:$F$230)+SUMIF(LE!$C$4:$C$200,C70,LE!$F$4:$F$200)+SUMIF(LN!$C$4:$C$48,C70,LN!$F$4:$F$48)+SUMIF(LCE!$C$4:$C$40,C70,LCE!$F$4:$F$40)+SUMIF(LI!$C$4:$C$55,C70,LI!$F$4:$F$55)+SUMIF(LAP!$C$4:$C$45,C70,LAP!$F$4:$F$45)+SUMIF(LGDM!$C$4:$C$22,C70,LGDM!$F$4:$F$22)+SUMIF(LAM!$C$4:$C$18,C70,LAM!$F$4:$F$18)+SUMIF(DEP!$C$4:$C$55,C70,DEP!$F$4:$F$55)</f>
        <v>62</v>
      </c>
      <c r="Q70" s="243">
        <f>SUMIF(LCB!$C$4:$C$45,C70,LCB!$E$4:$E$45)+SUMIF(LM!$C$4:$C$140,C70,LM!$E$4:$E$140)+SUMIF(LO!$C$4:$C$230,C70,LO!$E$4:$E$230)+SUMIF(LE!$C$4:$C$200,C70,LE!$E$4:$E$200)+SUMIF(LN!$C$4:$C$48,C70,LN!$E$4:$E$48)+SUMIF(LCE!$C$4:$C$40,C70,LCE!$E$4:$E$40)+SUMIF(LI!$C$4:$C$55,C70,LI!$E$4:$E$55)+SUMIF(LAP!$C$4:$C$45,C70,LAP!$E$4:$E$45)+SUMIF(LGDM!$C$4:$C$15,C70,LGDM!$E$4:$E$15)+SUMIF(LAM!$C$5:$C$18,C70,LAM!$E$5:$E$18)+SUMIF(DEP!$C$4:$C$55,C70,DEP!$E$4:$E$55)</f>
        <v>32</v>
      </c>
      <c r="R70" s="338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3.5" customHeight="1">
      <c r="A71" s="11"/>
      <c r="B71" s="107">
        <v>16.0</v>
      </c>
      <c r="C71" s="355" t="s">
        <v>121</v>
      </c>
      <c r="D71" s="288">
        <f t="shared" si="3"/>
        <v>5</v>
      </c>
      <c r="E71" s="243">
        <f>COUNTIF(LCB!$C$4:$C$40,C71)</f>
        <v>0</v>
      </c>
      <c r="F71" s="243">
        <f>COUNTIF(LM!$C$4:$C$144,C71)</f>
        <v>0</v>
      </c>
      <c r="G71" s="243">
        <f>COUNTIF(LO!$C$4:$C$227,C71)</f>
        <v>5</v>
      </c>
      <c r="H71" s="243">
        <f>COUNTIF(LE!$C$4:$C$214,C71)</f>
        <v>0</v>
      </c>
      <c r="I71" s="289">
        <f>COUNTIF(LN!$C$4:$C$53,C71)</f>
        <v>0</v>
      </c>
      <c r="J71" s="289">
        <f>COUNTIF(LCE!$C$3:$C$43,C71)</f>
        <v>0</v>
      </c>
      <c r="K71" s="289">
        <f>COUNTIF(LI!$C$4:$C$60,C71)</f>
        <v>0</v>
      </c>
      <c r="L71" s="289">
        <f>COUNTIF(LAP!$C$5:$C$45,C71)</f>
        <v>0</v>
      </c>
      <c r="M71" s="289">
        <f>COUNTIF(LGDM!$C$4:$C$22,C71)</f>
        <v>0</v>
      </c>
      <c r="N71" s="289">
        <f>COUNTIF(LAM!$C$5:$C$21,C71)</f>
        <v>0</v>
      </c>
      <c r="O71" s="243">
        <f>COUNTIF(DEP!$C$3:$C$61,C71)</f>
        <v>0</v>
      </c>
      <c r="P71" s="291">
        <f>SUMIF(LCB!$C$4:$C$45,C71,LCB!$F$4:$F$45)+SUMIF(LM!$C$4:$C$140,C71,LM!$F$4:$F$140)+SUMIF(LO!$C$4:$C$230,C71,LO!$F$4:$F$230)+SUMIF(LE!$C$4:$C$200,C71,LE!$F$4:$F$200)+SUMIF(LN!$C$4:$C$48,C71,LN!$F$4:$F$48)+SUMIF(LCE!$C$4:$C$40,C71,LCE!$F$4:$F$40)+SUMIF(LI!$C$4:$C$55,C71,LI!$F$4:$F$55)+SUMIF(LAP!$C$4:$C$45,C71,LAP!$F$4:$F$45)+SUMIF(LGDM!$C$4:$C$22,C71,LGDM!$F$4:$F$22)+SUMIF(LAM!$C$4:$C$18,C71,LAM!$F$4:$F$18)+SUMIF(DEP!$C$4:$C$55,C71,DEP!$F$4:$F$55)</f>
        <v>62</v>
      </c>
      <c r="Q71" s="243">
        <f>SUMIF(LCB!$C$4:$C$45,C71,LCB!$E$4:$E$45)+SUMIF(LM!$C$4:$C$140,C71,LM!$E$4:$E$140)+SUMIF(LO!$C$4:$C$230,C71,LO!$E$4:$E$230)+SUMIF(LE!$C$4:$C$200,C71,LE!$E$4:$E$200)+SUMIF(LN!$C$4:$C$48,C71,LN!$E$4:$E$48)+SUMIF(LCE!$C$4:$C$40,C71,LCE!$E$4:$E$40)+SUMIF(LI!$C$4:$C$55,C71,LI!$E$4:$E$55)+SUMIF(LAP!$C$4:$C$45,C71,LAP!$E$4:$E$45)+SUMIF(LGDM!$C$4:$C$15,C71,LGDM!$E$4:$E$15)+SUMIF(LAM!$C$5:$C$18,C71,LAM!$E$5:$E$18)+SUMIF(DEP!$C$4:$C$55,C71,DEP!$E$4:$E$55)</f>
        <v>32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3.5" customHeight="1">
      <c r="A72" s="11"/>
      <c r="B72" s="107">
        <v>17.0</v>
      </c>
      <c r="C72" s="355" t="s">
        <v>253</v>
      </c>
      <c r="D72" s="288">
        <f t="shared" si="3"/>
        <v>5</v>
      </c>
      <c r="E72" s="243">
        <f>COUNTIF(LCB!$C$4:$C$40,C72)</f>
        <v>0</v>
      </c>
      <c r="F72" s="243">
        <f>COUNTIF(LM!$C$4:$C$144,C72)</f>
        <v>0</v>
      </c>
      <c r="G72" s="243">
        <f>COUNTIF(LO!$C$4:$C$227,C72)</f>
        <v>5</v>
      </c>
      <c r="H72" s="243">
        <f>COUNTIF(LE!$C$4:$C$214,C72)</f>
        <v>0</v>
      </c>
      <c r="I72" s="289">
        <f>COUNTIF(LN!$C$4:$C$53,C72)</f>
        <v>0</v>
      </c>
      <c r="J72" s="289">
        <f>COUNTIF(LCE!$C$3:$C$43,C72)</f>
        <v>0</v>
      </c>
      <c r="K72" s="289">
        <f>COUNTIF(LI!$C$4:$C$60,C72)</f>
        <v>0</v>
      </c>
      <c r="L72" s="289">
        <f>COUNTIF(LAP!$C$5:$C$45,C72)</f>
        <v>0</v>
      </c>
      <c r="M72" s="289">
        <f>COUNTIF(LGDM!$C$4:$C$22,C72)</f>
        <v>0</v>
      </c>
      <c r="N72" s="289">
        <f>COUNTIF(LAM!$C$5:$C$21,C72)</f>
        <v>0</v>
      </c>
      <c r="O72" s="243">
        <f>COUNTIF(DEP!$C$3:$C$61,C72)</f>
        <v>0</v>
      </c>
      <c r="P72" s="291">
        <f>SUMIF(LCB!$C$4:$C$45,C72,LCB!$F$4:$F$45)+SUMIF(LM!$C$4:$C$140,C72,LM!$F$4:$F$140)+SUMIF(LO!$C$4:$C$230,C72,LO!$F$4:$F$230)+SUMIF(LE!$C$4:$C$200,C72,LE!$F$4:$F$200)+SUMIF(LN!$C$4:$C$48,C72,LN!$F$4:$F$48)+SUMIF(LCE!$C$4:$C$40,C72,LCE!$F$4:$F$40)+SUMIF(LI!$C$4:$C$55,C72,LI!$F$4:$F$55)+SUMIF(LAP!$C$4:$C$45,C72,LAP!$F$4:$F$45)+SUMIF(LGDM!$C$4:$C$22,C72,LGDM!$F$4:$F$22)+SUMIF(LAM!$C$4:$C$18,C72,LAM!$F$4:$F$18)+SUMIF(DEP!$C$4:$C$55,C72,DEP!$F$4:$F$55)</f>
        <v>126</v>
      </c>
      <c r="Q72" s="243">
        <f>SUMIF(LCB!$C$4:$C$45,C72,LCB!$E$4:$E$45)+SUMIF(LM!$C$4:$C$140,C72,LM!$E$4:$E$140)+SUMIF(LO!$C$4:$C$230,C72,LO!$E$4:$E$230)+SUMIF(LE!$C$4:$C$200,C72,LE!$E$4:$E$200)+SUMIF(LN!$C$4:$C$48,C72,LN!$E$4:$E$48)+SUMIF(LCE!$C$4:$C$40,C72,LCE!$E$4:$E$40)+SUMIF(LI!$C$4:$C$55,C72,LI!$E$4:$E$55)+SUMIF(LAP!$C$4:$C$45,C72,LAP!$E$4:$E$45)+SUMIF(LGDM!$C$4:$C$15,C72,LGDM!$E$4:$E$15)+SUMIF(LAM!$C$5:$C$18,C72,LAM!$E$5:$E$18)+SUMIF(DEP!$C$4:$C$55,C72,DEP!$E$4:$E$55)</f>
        <v>30</v>
      </c>
      <c r="R72" s="33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3.5" customHeight="1">
      <c r="A73" s="11"/>
      <c r="B73" s="107">
        <v>18.0</v>
      </c>
      <c r="C73" s="33" t="s">
        <v>259</v>
      </c>
      <c r="D73" s="288">
        <f t="shared" si="3"/>
        <v>5</v>
      </c>
      <c r="E73" s="243">
        <f>COUNTIF(LCB!$C$4:$C$40,C73)</f>
        <v>0</v>
      </c>
      <c r="F73" s="243">
        <f>COUNTIF(LM!$C$4:$C$144,C73)</f>
        <v>0</v>
      </c>
      <c r="G73" s="243">
        <f>COUNTIF(LO!$C$4:$C$227,C73)</f>
        <v>5</v>
      </c>
      <c r="H73" s="243">
        <f>COUNTIF(LE!$C$4:$C$214,C73)</f>
        <v>0</v>
      </c>
      <c r="I73" s="289">
        <f>COUNTIF(LN!$C$4:$C$53,C73)</f>
        <v>0</v>
      </c>
      <c r="J73" s="289">
        <f>COUNTIF(LCE!$C$3:$C$43,C73)</f>
        <v>0</v>
      </c>
      <c r="K73" s="289">
        <f>COUNTIF(LI!$C$4:$C$60,C73)</f>
        <v>0</v>
      </c>
      <c r="L73" s="289">
        <f>COUNTIF(LAP!$C$5:$C$45,C73)</f>
        <v>0</v>
      </c>
      <c r="M73" s="289">
        <f>COUNTIF(LGDM!$C$4:$C$22,C73)</f>
        <v>0</v>
      </c>
      <c r="N73" s="289">
        <f>COUNTIF(LAM!$C$5:$C$21,C73)</f>
        <v>0</v>
      </c>
      <c r="O73" s="243">
        <f>COUNTIF(DEP!$C$3:$C$61,C73)</f>
        <v>0</v>
      </c>
      <c r="P73" s="291">
        <f>SUMIF(LCB!$C$4:$C$45,C73,LCB!$F$4:$F$45)+SUMIF(LM!$C$4:$C$140,C73,LM!$F$4:$F$140)+SUMIF(LO!$C$4:$C$230,C73,LO!$F$4:$F$230)+SUMIF(LE!$C$4:$C$200,C73,LE!$F$4:$F$200)+SUMIF(LN!$C$4:$C$48,C73,LN!$F$4:$F$48)+SUMIF(LCE!$C$4:$C$40,C73,LCE!$F$4:$F$40)+SUMIF(LI!$C$4:$C$55,C73,LI!$F$4:$F$55)+SUMIF(LAP!$C$4:$C$45,C73,LAP!$F$4:$F$45)+SUMIF(LGDM!$C$4:$C$22,C73,LGDM!$F$4:$F$22)+SUMIF(LAM!$C$4:$C$18,C73,LAM!$F$4:$F$18)+SUMIF(DEP!$C$4:$C$55,C73,DEP!$F$4:$F$55)</f>
        <v>126</v>
      </c>
      <c r="Q73" s="243">
        <f>SUMIF(LCB!$C$4:$C$45,C73,LCB!$E$4:$E$45)+SUMIF(LM!$C$4:$C$140,C73,LM!$E$4:$E$140)+SUMIF(LO!$C$4:$C$230,C73,LO!$E$4:$E$230)+SUMIF(LE!$C$4:$C$200,C73,LE!$E$4:$E$200)+SUMIF(LN!$C$4:$C$48,C73,LN!$E$4:$E$48)+SUMIF(LCE!$C$4:$C$40,C73,LCE!$E$4:$E$40)+SUMIF(LI!$C$4:$C$55,C73,LI!$E$4:$E$55)+SUMIF(LAP!$C$4:$C$45,C73,LAP!$E$4:$E$45)+SUMIF(LGDM!$C$4:$C$15,C73,LGDM!$E$4:$E$15)+SUMIF(LAM!$C$5:$C$18,C73,LAM!$E$5:$E$18)+SUMIF(DEP!$C$4:$C$55,C73,DEP!$E$4:$E$55)</f>
        <v>32</v>
      </c>
      <c r="R73" s="35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3.5" customHeight="1">
      <c r="A74" s="11"/>
      <c r="B74" s="144">
        <v>19.0</v>
      </c>
      <c r="C74" s="70" t="s">
        <v>319</v>
      </c>
      <c r="D74" s="288">
        <f t="shared" si="3"/>
        <v>4</v>
      </c>
      <c r="E74" s="243">
        <f>COUNTIF(LCB!$C$4:$C$40,C74)</f>
        <v>0</v>
      </c>
      <c r="F74" s="243">
        <f>COUNTIF(LM!$C$4:$C$144,C74)</f>
        <v>0</v>
      </c>
      <c r="G74" s="243">
        <f>COUNTIF(LO!$C$4:$C$227,C74)</f>
        <v>4</v>
      </c>
      <c r="H74" s="243">
        <f>COUNTIF(LE!$C$4:$C$214,C74)</f>
        <v>0</v>
      </c>
      <c r="I74" s="289">
        <f>COUNTIF(LN!$C$4:$C$53,C74)</f>
        <v>0</v>
      </c>
      <c r="J74" s="289">
        <f>COUNTIF(LCE!$C$3:$C$43,C74)</f>
        <v>0</v>
      </c>
      <c r="K74" s="289">
        <f>COUNTIF(LI!$C$4:$C$60,C74)</f>
        <v>0</v>
      </c>
      <c r="L74" s="289">
        <f>COUNTIF(LAP!$C$5:$C$45,C74)</f>
        <v>0</v>
      </c>
      <c r="M74" s="289">
        <f>COUNTIF(LGDM!$C$4:$C$22,C74)</f>
        <v>0</v>
      </c>
      <c r="N74" s="289">
        <f>COUNTIF(LAM!$C$5:$C$21,C74)</f>
        <v>0</v>
      </c>
      <c r="O74" s="243">
        <f>COUNTIF(DEP!$C$3:$C$61,C74)</f>
        <v>0</v>
      </c>
      <c r="P74" s="291">
        <f>SUMIF(LCB!$C$4:$C$45,C74,LCB!$F$4:$F$45)+SUMIF(LM!$C$4:$C$140,C74,LM!$F$4:$F$140)+SUMIF(LO!$C$4:$C$230,C74,LO!$F$4:$F$230)+SUMIF(LE!$C$4:$C$200,C74,LE!$F$4:$F$200)+SUMIF(LN!$C$4:$C$48,C74,LN!$F$4:$F$48)+SUMIF(LCE!$C$4:$C$40,C74,LCE!$F$4:$F$40)+SUMIF(LI!$C$4:$C$55,C74,LI!$F$4:$F$55)+SUMIF(LAP!$C$4:$C$45,C74,LAP!$F$4:$F$45)+SUMIF(LGDM!$C$4:$C$22,C74,LGDM!$F$4:$F$22)+SUMIF(LAM!$C$4:$C$18,C74,LAM!$F$4:$F$18)+SUMIF(DEP!$C$4:$C$55,C74,DEP!$F$4:$F$55)</f>
        <v>96</v>
      </c>
      <c r="Q74" s="243">
        <f>SUMIF(LCB!$C$4:$C$45,C74,LCB!$E$4:$E$45)+SUMIF(LM!$C$4:$C$140,C74,LM!$E$4:$E$140)+SUMIF(LO!$C$4:$C$230,C74,LO!$E$4:$E$230)+SUMIF(LE!$C$4:$C$200,C74,LE!$E$4:$E$200)+SUMIF(LN!$C$4:$C$48,C74,LN!$E$4:$E$48)+SUMIF(LCE!$C$4:$C$40,C74,LCE!$E$4:$E$40)+SUMIF(LI!$C$4:$C$55,C74,LI!$E$4:$E$55)+SUMIF(LAP!$C$4:$C$45,C74,LAP!$E$4:$E$45)+SUMIF(LGDM!$C$4:$C$15,C74,LGDM!$E$4:$E$15)+SUMIF(LAM!$C$5:$C$18,C74,LAM!$E$5:$E$18)+SUMIF(DEP!$C$4:$C$55,C74,DEP!$E$4:$E$55)</f>
        <v>25</v>
      </c>
      <c r="R74" s="338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3.5" customHeight="1">
      <c r="A75" s="11"/>
      <c r="B75" s="144">
        <v>22.0</v>
      </c>
      <c r="C75" s="148" t="s">
        <v>354</v>
      </c>
      <c r="D75" s="13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3.5" customHeight="1">
      <c r="A76" s="11"/>
      <c r="B76" s="107"/>
      <c r="C76" s="9"/>
      <c r="D76" s="13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3.5" customHeight="1">
      <c r="A77" s="11"/>
      <c r="B77" s="107"/>
      <c r="C77" s="9"/>
      <c r="D77" s="13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282" t="s">
        <v>16</v>
      </c>
      <c r="C78" s="283" t="s">
        <v>685</v>
      </c>
      <c r="D78" s="129" t="s">
        <v>334</v>
      </c>
      <c r="E78" s="284" t="s">
        <v>23</v>
      </c>
      <c r="F78" s="284" t="s">
        <v>15</v>
      </c>
      <c r="G78" s="284" t="s">
        <v>46</v>
      </c>
      <c r="H78" s="284" t="s">
        <v>16</v>
      </c>
      <c r="I78" s="284" t="s">
        <v>252</v>
      </c>
      <c r="J78" s="284" t="s">
        <v>41</v>
      </c>
      <c r="K78" s="284" t="s">
        <v>48</v>
      </c>
      <c r="L78" s="284" t="s">
        <v>58</v>
      </c>
      <c r="M78" s="286" t="s">
        <v>439</v>
      </c>
      <c r="N78" s="284" t="s">
        <v>687</v>
      </c>
      <c r="O78" s="284" t="s">
        <v>56</v>
      </c>
      <c r="P78" s="129" t="s">
        <v>210</v>
      </c>
      <c r="Q78" s="129" t="s">
        <v>688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ht="13.5" customHeight="1">
      <c r="A79" s="9"/>
      <c r="B79" s="62">
        <v>1.0</v>
      </c>
      <c r="C79" s="38" t="s">
        <v>325</v>
      </c>
      <c r="D79" s="288">
        <f t="shared" ref="D79:D103" si="4">SUM(E79:O79)</f>
        <v>1</v>
      </c>
      <c r="E79" s="243">
        <f>COUNTIF(LCB!$C$4:$C$40,C79)</f>
        <v>0</v>
      </c>
      <c r="F79" s="243">
        <f>COUNTIF(LM!$C$4:$C$144,C79)</f>
        <v>0</v>
      </c>
      <c r="G79" s="243">
        <f>COUNTIF(LO!$C$4:$C$227,C79)</f>
        <v>0</v>
      </c>
      <c r="H79" s="243">
        <f>COUNTIF(LE!$C$4:$C$214,C79)</f>
        <v>1</v>
      </c>
      <c r="I79" s="289">
        <f>COUNTIF(LN!$C$4:$C$53,C79)</f>
        <v>0</v>
      </c>
      <c r="J79" s="289">
        <f>COUNTIF(LCE!$C$3:$C$43,C79)</f>
        <v>0</v>
      </c>
      <c r="K79" s="289">
        <f>COUNTIF(LI!$C$4:$C$60,C79)</f>
        <v>0</v>
      </c>
      <c r="L79" s="289">
        <f>COUNTIF(LAP!$C$5:$C$45,C79)</f>
        <v>0</v>
      </c>
      <c r="M79" s="289">
        <f>COUNTIF(LGDM!$C$4:$C$22,C79)</f>
        <v>0</v>
      </c>
      <c r="N79" s="289">
        <f>COUNTIF(LAM!$C$5:$C$21,C79)</f>
        <v>0</v>
      </c>
      <c r="O79" s="243">
        <f>COUNTIF(DEP!$C$3:$C$61,C79)</f>
        <v>0</v>
      </c>
      <c r="P79" s="291">
        <f>SUMIF(LCB!$C$4:$C$45,C79,LCB!$F$4:$F$45)+SUMIF(LM!$C$4:$C$140,C79,LM!$F$4:$F$140)+SUMIF(LO!$C$4:$C$230,C79,LO!$F$4:$F$230)+SUMIF(LE!$C$4:$C$200,C79,LE!$F$4:$F$200)+SUMIF(LN!$C$4:$C$48,C79,LN!$F$4:$F$48)+SUMIF(LCE!$C$4:$C$40,C79,LCE!$F$4:$F$40)+SUMIF(LI!$C$4:$C$55,C79,LI!$F$4:$F$55)+SUMIF(LAP!$C$4:$C$45,C79,LAP!$F$4:$F$45)+SUMIF(LGDM!$C$4:$C$22,C79,LGDM!$F$4:$F$22)+SUMIF(LAM!$C$4:$C$18,C79,LAM!$F$4:$F$18)+SUMIF(DEP!$C$4:$C$55,C79,DEP!$F$4:$F$55)</f>
        <v>36</v>
      </c>
      <c r="Q79" s="243">
        <f>SUMIF(LCB!$C$4:$C$45,C79,LCB!$E$4:$E$45)+SUMIF(LM!$C$4:$C$140,C79,LM!$E$4:$E$140)+SUMIF(LO!$C$4:$C$230,C79,LO!$E$4:$E$230)+SUMIF(LE!$C$4:$C$200,C79,LE!$E$4:$E$200)+SUMIF(LN!$C$4:$C$48,C79,LN!$E$4:$E$48)+SUMIF(LCE!$C$4:$C$40,C79,LCE!$E$4:$E$40)+SUMIF(LI!$C$4:$C$55,C79,LI!$E$4:$E$55)+SUMIF(LAP!$C$4:$C$45,C79,LAP!$E$4:$E$45)+SUMIF(LGDM!$C$4:$C$15,C79,LGDM!$E$4:$E$15)+SUMIF(LAM!$C$5:$C$18,C79,LAM!$E$5:$E$18)+SUMIF(DEP!$C$4:$C$55,C79,DEP!$E$4:$E$55)</f>
        <v>5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ht="13.5" customHeight="1">
      <c r="A80" s="9"/>
      <c r="B80" s="62">
        <v>2.0</v>
      </c>
      <c r="C80" s="38" t="s">
        <v>125</v>
      </c>
      <c r="D80" s="288">
        <f t="shared" si="4"/>
        <v>4</v>
      </c>
      <c r="E80" s="243">
        <f>COUNTIF(LCB!$C$4:$C$40,C80)</f>
        <v>0</v>
      </c>
      <c r="F80" s="243">
        <f>COUNTIF(LM!$C$4:$C$144,C80)</f>
        <v>2</v>
      </c>
      <c r="G80" s="243">
        <f>COUNTIF(LO!$C$4:$C$227,C80)</f>
        <v>0</v>
      </c>
      <c r="H80" s="243">
        <f>COUNTIF(LE!$C$4:$C$214,C80)</f>
        <v>2</v>
      </c>
      <c r="I80" s="289">
        <f>COUNTIF(LN!$C$4:$C$53,C80)</f>
        <v>0</v>
      </c>
      <c r="J80" s="289">
        <f>COUNTIF(LCE!$C$3:$C$43,C80)</f>
        <v>0</v>
      </c>
      <c r="K80" s="289">
        <f>COUNTIF(LI!$C$4:$C$60,C80)</f>
        <v>0</v>
      </c>
      <c r="L80" s="289">
        <f>COUNTIF(LAP!$C$5:$C$45,C80)</f>
        <v>0</v>
      </c>
      <c r="M80" s="289">
        <f>COUNTIF(LGDM!$C$4:$C$22,C80)</f>
        <v>0</v>
      </c>
      <c r="N80" s="289">
        <f>COUNTIF(LAM!$C$5:$C$21,C80)</f>
        <v>0</v>
      </c>
      <c r="O80" s="243">
        <f>COUNTIF(DEP!$C$3:$C$61,C80)</f>
        <v>0</v>
      </c>
      <c r="P80" s="291">
        <f>SUMIF(LCB!$C$4:$C$45,C80,LCB!$F$4:$F$45)+SUMIF(LM!$C$4:$C$140,C80,LM!$F$4:$F$140)+SUMIF(LO!$C$4:$C$230,C80,LO!$F$4:$F$230)+SUMIF(LE!$C$4:$C$200,C80,LE!$F$4:$F$200)+SUMIF(LN!$C$4:$C$48,C80,LN!$F$4:$F$48)+SUMIF(LCE!$C$4:$C$40,C80,LCE!$F$4:$F$40)+SUMIF(LI!$C$4:$C$55,C80,LI!$F$4:$F$55)+SUMIF(LAP!$C$4:$C$45,C80,LAP!$F$4:$F$45)+SUMIF(LGDM!$C$4:$C$22,C80,LGDM!$F$4:$F$22)+SUMIF(LAM!$C$4:$C$18,C80,LAM!$F$4:$F$18)+SUMIF(DEP!$C$4:$C$55,C80,DEP!$F$4:$F$55)</f>
        <v>76</v>
      </c>
      <c r="Q80" s="243">
        <f>SUMIF(LCB!$C$4:$C$45,C80,LCB!$E$4:$E$45)+SUMIF(LM!$C$4:$C$140,C80,LM!$E$4:$E$140)+SUMIF(LO!$C$4:$C$230,C80,LO!$E$4:$E$230)+SUMIF(LE!$C$4:$C$200,C80,LE!$E$4:$E$200)+SUMIF(LN!$C$4:$C$48,C80,LN!$E$4:$E$48)+SUMIF(LCE!$C$4:$C$40,C80,LCE!$E$4:$E$40)+SUMIF(LI!$C$4:$C$55,C80,LI!$E$4:$E$55)+SUMIF(LAP!$C$4:$C$45,C80,LAP!$E$4:$E$45)+SUMIF(LGDM!$C$4:$C$15,C80,LGDM!$E$4:$E$15)+SUMIF(LAM!$C$5:$C$18,C80,LAM!$E$5:$E$18)+SUMIF(DEP!$C$4:$C$55,C80,DEP!$E$4:$E$55)</f>
        <v>18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ht="13.5" customHeight="1">
      <c r="A81" s="9"/>
      <c r="B81" s="62">
        <v>3.0</v>
      </c>
      <c r="C81" s="38" t="s">
        <v>29</v>
      </c>
      <c r="D81" s="288">
        <f t="shared" si="4"/>
        <v>4</v>
      </c>
      <c r="E81" s="243">
        <f>COUNTIF(LCB!$C$4:$C$40,C81)</f>
        <v>0</v>
      </c>
      <c r="F81" s="243">
        <f>COUNTIF(LM!$C$4:$C$144,C81)</f>
        <v>0</v>
      </c>
      <c r="G81" s="243">
        <f>COUNTIF(LO!$C$4:$C$227,C81)</f>
        <v>0</v>
      </c>
      <c r="H81" s="243">
        <f>COUNTIF(LE!$C$4:$C$214,C81)</f>
        <v>4</v>
      </c>
      <c r="I81" s="289">
        <f>COUNTIF(LN!$C$4:$C$53,C81)</f>
        <v>0</v>
      </c>
      <c r="J81" s="289">
        <f>COUNTIF(LCE!$C$3:$C$43,C81)</f>
        <v>0</v>
      </c>
      <c r="K81" s="289">
        <f>COUNTIF(LI!$C$4:$C$60,C81)</f>
        <v>0</v>
      </c>
      <c r="L81" s="289">
        <f>COUNTIF(LAP!$C$5:$C$45,C81)</f>
        <v>0</v>
      </c>
      <c r="M81" s="289">
        <f>COUNTIF(LGDM!$C$4:$C$22,C81)</f>
        <v>0</v>
      </c>
      <c r="N81" s="289">
        <f>COUNTIF(LAM!$C$5:$C$21,C81)</f>
        <v>0</v>
      </c>
      <c r="O81" s="243">
        <f>COUNTIF(DEP!$C$3:$C$61,C81)</f>
        <v>0</v>
      </c>
      <c r="P81" s="291">
        <f>SUMIF(LCB!$C$4:$C$45,C81,LCB!$F$4:$F$45)+SUMIF(LM!$C$4:$C$140,C81,LM!$F$4:$F$140)+SUMIF(LO!$C$4:$C$230,C81,LO!$F$4:$F$230)+SUMIF(LE!$C$4:$C$200,C81,LE!$F$4:$F$200)+SUMIF(LN!$C$4:$C$48,C81,LN!$F$4:$F$48)+SUMIF(LCE!$C$4:$C$40,C81,LCE!$F$4:$F$40)+SUMIF(LI!$C$4:$C$55,C81,LI!$F$4:$F$55)+SUMIF(LAP!$C$4:$C$45,C81,LAP!$F$4:$F$45)+SUMIF(LGDM!$C$4:$C$22,C81,LGDM!$F$4:$F$22)+SUMIF(LAM!$C$4:$C$18,C81,LAM!$F$4:$F$18)+SUMIF(DEP!$C$4:$C$55,C81,DEP!$F$4:$F$55)</f>
        <v>108</v>
      </c>
      <c r="Q81" s="243">
        <f>SUMIF(LCB!$C$4:$C$45,C81,LCB!$E$4:$E$45)+SUMIF(LM!$C$4:$C$140,C81,LM!$E$4:$E$140)+SUMIF(LO!$C$4:$C$230,C81,LO!$E$4:$E$230)+SUMIF(LE!$C$4:$C$200,C81,LE!$E$4:$E$200)+SUMIF(LN!$C$4:$C$48,C81,LN!$E$4:$E$48)+SUMIF(LCE!$C$4:$C$40,C81,LCE!$E$4:$E$40)+SUMIF(LI!$C$4:$C$55,C81,LI!$E$4:$E$55)+SUMIF(LAP!$C$4:$C$45,C81,LAP!$E$4:$E$45)+SUMIF(LGDM!$C$4:$C$15,C81,LGDM!$E$4:$E$15)+SUMIF(LAM!$C$5:$C$18,C81,LAM!$E$5:$E$18)+SUMIF(DEP!$C$4:$C$55,C81,DEP!$E$4:$E$55)</f>
        <v>19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ht="13.5" customHeight="1">
      <c r="A82" s="9"/>
      <c r="B82" s="62">
        <v>4.0</v>
      </c>
      <c r="C82" s="38" t="s">
        <v>163</v>
      </c>
      <c r="D82" s="288">
        <f t="shared" si="4"/>
        <v>4</v>
      </c>
      <c r="E82" s="243">
        <f>COUNTIF(LCB!$C$4:$C$40,C82)</f>
        <v>0</v>
      </c>
      <c r="F82" s="243">
        <f>COUNTIF(LM!$C$4:$C$144,C82)</f>
        <v>0</v>
      </c>
      <c r="G82" s="243">
        <f>COUNTIF(LO!$C$4:$C$227,C82)</f>
        <v>0</v>
      </c>
      <c r="H82" s="243">
        <f>COUNTIF(LE!$C$4:$C$214,C82)</f>
        <v>4</v>
      </c>
      <c r="I82" s="289">
        <f>COUNTIF(LN!$C$4:$C$53,C82)</f>
        <v>0</v>
      </c>
      <c r="J82" s="289">
        <f>COUNTIF(LCE!$C$3:$C$43,C82)</f>
        <v>0</v>
      </c>
      <c r="K82" s="289">
        <f>COUNTIF(LI!$C$4:$C$60,C82)</f>
        <v>0</v>
      </c>
      <c r="L82" s="289">
        <f>COUNTIF(LAP!$C$5:$C$45,C82)</f>
        <v>0</v>
      </c>
      <c r="M82" s="289">
        <f>COUNTIF(LGDM!$C$4:$C$22,C82)</f>
        <v>0</v>
      </c>
      <c r="N82" s="289">
        <f>COUNTIF(LAM!$C$5:$C$21,C82)</f>
        <v>0</v>
      </c>
      <c r="O82" s="243">
        <f>COUNTIF(DEP!$C$3:$C$61,C82)</f>
        <v>0</v>
      </c>
      <c r="P82" s="291">
        <f>SUMIF(LCB!$C$4:$C$45,C82,LCB!$F$4:$F$45)+SUMIF(LM!$C$4:$C$140,C82,LM!$F$4:$F$140)+SUMIF(LO!$C$4:$C$230,C82,LO!$F$4:$F$230)+SUMIF(LE!$C$4:$C$200,C82,LE!$F$4:$F$200)+SUMIF(LN!$C$4:$C$48,C82,LN!$F$4:$F$48)+SUMIF(LCE!$C$4:$C$40,C82,LCE!$F$4:$F$40)+SUMIF(LI!$C$4:$C$55,C82,LI!$F$4:$F$55)+SUMIF(LAP!$C$4:$C$45,C82,LAP!$F$4:$F$45)+SUMIF(LGDM!$C$4:$C$22,C82,LGDM!$F$4:$F$22)+SUMIF(LAM!$C$4:$C$18,C82,LAM!$F$4:$F$18)+SUMIF(DEP!$C$4:$C$55,C82,DEP!$F$4:$F$55)</f>
        <v>122</v>
      </c>
      <c r="Q82" s="243">
        <f>SUMIF(LCB!$C$4:$C$45,C82,LCB!$E$4:$E$45)+SUMIF(LM!$C$4:$C$140,C82,LM!$E$4:$E$140)+SUMIF(LO!$C$4:$C$230,C82,LO!$E$4:$E$230)+SUMIF(LE!$C$4:$C$200,C82,LE!$E$4:$E$200)+SUMIF(LN!$C$4:$C$48,C82,LN!$E$4:$E$48)+SUMIF(LCE!$C$4:$C$40,C82,LCE!$E$4:$E$40)+SUMIF(LI!$C$4:$C$55,C82,LI!$E$4:$E$55)+SUMIF(LAP!$C$4:$C$45,C82,LAP!$E$4:$E$45)+SUMIF(LGDM!$C$4:$C$15,C82,LGDM!$E$4:$E$15)+SUMIF(LAM!$C$5:$C$18,C82,LAM!$E$5:$E$18)+SUMIF(DEP!$C$4:$C$55,C82,DEP!$E$4:$E$55)</f>
        <v>20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ht="13.5" customHeight="1">
      <c r="A83" s="9"/>
      <c r="B83" s="62">
        <v>5.0</v>
      </c>
      <c r="C83" s="38" t="s">
        <v>306</v>
      </c>
      <c r="D83" s="288">
        <f t="shared" si="4"/>
        <v>3</v>
      </c>
      <c r="E83" s="243">
        <f>COUNTIF(LCB!$C$4:$C$40,C83)</f>
        <v>0</v>
      </c>
      <c r="F83" s="243">
        <f>COUNTIF(LM!$C$4:$C$144,C83)</f>
        <v>0</v>
      </c>
      <c r="G83" s="243">
        <f>COUNTIF(LO!$C$4:$C$227,C83)</f>
        <v>0</v>
      </c>
      <c r="H83" s="243">
        <f>COUNTIF(LE!$C$4:$C$214,C83)</f>
        <v>3</v>
      </c>
      <c r="I83" s="289">
        <f>COUNTIF(LN!$C$4:$C$53,C83)</f>
        <v>0</v>
      </c>
      <c r="J83" s="289">
        <f>COUNTIF(LCE!$C$3:$C$43,C83)</f>
        <v>0</v>
      </c>
      <c r="K83" s="289">
        <f>COUNTIF(LI!$C$4:$C$60,C83)</f>
        <v>0</v>
      </c>
      <c r="L83" s="289">
        <f>COUNTIF(LAP!$C$5:$C$45,C83)</f>
        <v>0</v>
      </c>
      <c r="M83" s="289">
        <f>COUNTIF(LGDM!$C$4:$C$22,C83)</f>
        <v>0</v>
      </c>
      <c r="N83" s="289">
        <f>COUNTIF(LAM!$C$5:$C$21,C83)</f>
        <v>0</v>
      </c>
      <c r="O83" s="243">
        <f>COUNTIF(DEP!$C$3:$C$61,C83)</f>
        <v>0</v>
      </c>
      <c r="P83" s="291">
        <f>SUMIF(LCB!$C$4:$C$45,C83,LCB!$F$4:$F$45)+SUMIF(LM!$C$4:$C$140,C83,LM!$F$4:$F$140)+SUMIF(LO!$C$4:$C$230,C83,LO!$F$4:$F$230)+SUMIF(LE!$C$4:$C$200,C83,LE!$F$4:$F$200)+SUMIF(LN!$C$4:$C$48,C83,LN!$F$4:$F$48)+SUMIF(LCE!$C$4:$C$40,C83,LCE!$F$4:$F$40)+SUMIF(LI!$C$4:$C$55,C83,LI!$F$4:$F$55)+SUMIF(LAP!$C$4:$C$45,C83,LAP!$F$4:$F$45)+SUMIF(LGDM!$C$4:$C$22,C83,LGDM!$F$4:$F$22)+SUMIF(LAM!$C$4:$C$18,C83,LAM!$F$4:$F$18)+SUMIF(DEP!$C$4:$C$55,C83,DEP!$F$4:$F$55)</f>
        <v>108</v>
      </c>
      <c r="Q83" s="243">
        <f>SUMIF(LCB!$C$4:$C$45,C83,LCB!$E$4:$E$45)+SUMIF(LM!$C$4:$C$140,C83,LM!$E$4:$E$140)+SUMIF(LO!$C$4:$C$230,C83,LO!$E$4:$E$230)+SUMIF(LE!$C$4:$C$200,C83,LE!$E$4:$E$200)+SUMIF(LN!$C$4:$C$48,C83,LN!$E$4:$E$48)+SUMIF(LCE!$C$4:$C$40,C83,LCE!$E$4:$E$40)+SUMIF(LI!$C$4:$C$55,C83,LI!$E$4:$E$55)+SUMIF(LAP!$C$4:$C$45,C83,LAP!$E$4:$E$45)+SUMIF(LGDM!$C$4:$C$15,C83,LGDM!$E$4:$E$15)+SUMIF(LAM!$C$5:$C$18,C83,LAM!$E$5:$E$18)+SUMIF(DEP!$C$4:$C$55,C83,DEP!$E$4:$E$55)</f>
        <v>15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ht="13.5" customHeight="1">
      <c r="A84" s="9"/>
      <c r="B84" s="62">
        <v>6.0</v>
      </c>
      <c r="C84" s="38" t="s">
        <v>299</v>
      </c>
      <c r="D84" s="288">
        <f t="shared" si="4"/>
        <v>4</v>
      </c>
      <c r="E84" s="243">
        <f>COUNTIF(LCB!$C$4:$C$40,C84)</f>
        <v>0</v>
      </c>
      <c r="F84" s="243">
        <f>COUNTIF(LM!$C$4:$C$144,C84)</f>
        <v>0</v>
      </c>
      <c r="G84" s="243">
        <f>COUNTIF(LO!$C$4:$C$227,C84)</f>
        <v>0</v>
      </c>
      <c r="H84" s="243">
        <f>COUNTIF(LE!$C$4:$C$214,C84)</f>
        <v>4</v>
      </c>
      <c r="I84" s="289">
        <f>COUNTIF(LN!$C$4:$C$53,C84)</f>
        <v>0</v>
      </c>
      <c r="J84" s="289">
        <f>COUNTIF(LCE!$C$3:$C$43,C84)</f>
        <v>0</v>
      </c>
      <c r="K84" s="289">
        <f>COUNTIF(LI!$C$4:$C$60,C84)</f>
        <v>0</v>
      </c>
      <c r="L84" s="289">
        <f>COUNTIF(LAP!$C$5:$C$45,C84)</f>
        <v>0</v>
      </c>
      <c r="M84" s="289">
        <f>COUNTIF(LGDM!$C$4:$C$22,C84)</f>
        <v>0</v>
      </c>
      <c r="N84" s="289">
        <f>COUNTIF(LAM!$C$5:$C$21,C84)</f>
        <v>0</v>
      </c>
      <c r="O84" s="243">
        <f>COUNTIF(DEP!$C$3:$C$61,C84)</f>
        <v>0</v>
      </c>
      <c r="P84" s="291">
        <f>SUMIF(LCB!$C$4:$C$45,C84,LCB!$F$4:$F$45)+SUMIF(LM!$C$4:$C$140,C84,LM!$F$4:$F$140)+SUMIF(LO!$C$4:$C$230,C84,LO!$F$4:$F$230)+SUMIF(LE!$C$4:$C$200,C84,LE!$F$4:$F$200)+SUMIF(LN!$C$4:$C$48,C84,LN!$F$4:$F$48)+SUMIF(LCE!$C$4:$C$40,C84,LCE!$F$4:$F$40)+SUMIF(LI!$C$4:$C$55,C84,LI!$F$4:$F$55)+SUMIF(LAP!$C$4:$C$45,C84,LAP!$F$4:$F$45)+SUMIF(LGDM!$C$4:$C$22,C84,LGDM!$F$4:$F$22)+SUMIF(LAM!$C$4:$C$18,C84,LAM!$F$4:$F$18)+SUMIF(DEP!$C$4:$C$55,C84,DEP!$F$4:$F$55)</f>
        <v>143</v>
      </c>
      <c r="Q84" s="243">
        <f>SUMIF(LCB!$C$4:$C$45,C84,LCB!$E$4:$E$45)+SUMIF(LM!$C$4:$C$140,C84,LM!$E$4:$E$140)+SUMIF(LO!$C$4:$C$230,C84,LO!$E$4:$E$230)+SUMIF(LE!$C$4:$C$200,C84,LE!$E$4:$E$200)+SUMIF(LN!$C$4:$C$48,C84,LN!$E$4:$E$48)+SUMIF(LCE!$C$4:$C$40,C84,LCE!$E$4:$E$40)+SUMIF(LI!$C$4:$C$55,C84,LI!$E$4:$E$55)+SUMIF(LAP!$C$4:$C$45,C84,LAP!$E$4:$E$45)+SUMIF(LGDM!$C$4:$C$15,C84,LGDM!$E$4:$E$15)+SUMIF(LAM!$C$5:$C$18,C84,LAM!$E$5:$E$18)+SUMIF(DEP!$C$4:$C$55,C84,DEP!$E$4:$E$55)</f>
        <v>20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ht="13.5" customHeight="1">
      <c r="A85" s="9"/>
      <c r="B85" s="62">
        <v>7.0</v>
      </c>
      <c r="C85" s="38" t="s">
        <v>196</v>
      </c>
      <c r="D85" s="288">
        <f t="shared" si="4"/>
        <v>2</v>
      </c>
      <c r="E85" s="243">
        <f>COUNTIF(LCB!$C$4:$C$40,C85)</f>
        <v>0</v>
      </c>
      <c r="F85" s="243">
        <f>COUNTIF(LM!$C$4:$C$144,C85)</f>
        <v>0</v>
      </c>
      <c r="G85" s="243">
        <f>COUNTIF(LO!$C$4:$C$227,C85)</f>
        <v>0</v>
      </c>
      <c r="H85" s="243">
        <f>COUNTIF(LE!$C$4:$C$214,C85)</f>
        <v>2</v>
      </c>
      <c r="I85" s="289">
        <f>COUNTIF(LN!$C$4:$C$53,C85)</f>
        <v>0</v>
      </c>
      <c r="J85" s="289">
        <f>COUNTIF(LCE!$C$3:$C$43,C85)</f>
        <v>0</v>
      </c>
      <c r="K85" s="289">
        <f>COUNTIF(LI!$C$4:$C$60,C85)</f>
        <v>0</v>
      </c>
      <c r="L85" s="289">
        <f>COUNTIF(LAP!$C$5:$C$45,C85)</f>
        <v>0</v>
      </c>
      <c r="M85" s="289">
        <f>COUNTIF(LGDM!$C$4:$C$22,C85)</f>
        <v>0</v>
      </c>
      <c r="N85" s="289">
        <f>COUNTIF(LAM!$C$5:$C$21,C85)</f>
        <v>0</v>
      </c>
      <c r="O85" s="243">
        <f>COUNTIF(DEP!$C$3:$C$61,C85)</f>
        <v>0</v>
      </c>
      <c r="P85" s="291">
        <f>SUMIF(LCB!$C$4:$C$45,C85,LCB!$F$4:$F$45)+SUMIF(LM!$C$4:$C$140,C85,LM!$F$4:$F$140)+SUMIF(LO!$C$4:$C$230,C85,LO!$F$4:$F$230)+SUMIF(LE!$C$4:$C$200,C85,LE!$F$4:$F$200)+SUMIF(LN!$C$4:$C$48,C85,LN!$F$4:$F$48)+SUMIF(LCE!$C$4:$C$40,C85,LCE!$F$4:$F$40)+SUMIF(LI!$C$4:$C$55,C85,LI!$F$4:$F$55)+SUMIF(LAP!$C$4:$C$45,C85,LAP!$F$4:$F$45)+SUMIF(LGDM!$C$4:$C$22,C85,LGDM!$F$4:$F$22)+SUMIF(LAM!$C$4:$C$18,C85,LAM!$F$4:$F$18)+SUMIF(DEP!$C$4:$C$55,C85,DEP!$F$4:$F$55)</f>
        <v>60</v>
      </c>
      <c r="Q85" s="243">
        <f>SUMIF(LCB!$C$4:$C$45,C85,LCB!$E$4:$E$45)+SUMIF(LM!$C$4:$C$140,C85,LM!$E$4:$E$140)+SUMIF(LO!$C$4:$C$230,C85,LO!$E$4:$E$230)+SUMIF(LE!$C$4:$C$200,C85,LE!$E$4:$E$200)+SUMIF(LN!$C$4:$C$48,C85,LN!$E$4:$E$48)+SUMIF(LCE!$C$4:$C$40,C85,LCE!$E$4:$E$40)+SUMIF(LI!$C$4:$C$55,C85,LI!$E$4:$E$55)+SUMIF(LAP!$C$4:$C$45,C85,LAP!$E$4:$E$45)+SUMIF(LGDM!$C$4:$C$15,C85,LGDM!$E$4:$E$15)+SUMIF(LAM!$C$5:$C$18,C85,LAM!$E$5:$E$18)+SUMIF(DEP!$C$4:$C$55,C85,DEP!$E$4:$E$55)</f>
        <v>10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ht="13.5" customHeight="1">
      <c r="A86" s="9"/>
      <c r="B86" s="62">
        <v>8.0</v>
      </c>
      <c r="C86" s="38" t="s">
        <v>191</v>
      </c>
      <c r="D86" s="288">
        <f t="shared" si="4"/>
        <v>3</v>
      </c>
      <c r="E86" s="243">
        <f>COUNTIF(LCB!$C$4:$C$40,C86)</f>
        <v>0</v>
      </c>
      <c r="F86" s="243">
        <f>COUNTIF(LM!$C$4:$C$144,C86)</f>
        <v>0</v>
      </c>
      <c r="G86" s="243">
        <f>COUNTIF(LO!$C$4:$C$227,C86)</f>
        <v>0</v>
      </c>
      <c r="H86" s="243">
        <f>COUNTIF(LE!$C$4:$C$214,C86)</f>
        <v>3</v>
      </c>
      <c r="I86" s="289">
        <f>COUNTIF(LN!$C$4:$C$53,C86)</f>
        <v>0</v>
      </c>
      <c r="J86" s="289">
        <f>COUNTIF(LCE!$C$3:$C$43,C86)</f>
        <v>0</v>
      </c>
      <c r="K86" s="289">
        <f>COUNTIF(LI!$C$4:$C$60,C86)</f>
        <v>0</v>
      </c>
      <c r="L86" s="289">
        <f>COUNTIF(LAP!$C$5:$C$45,C86)</f>
        <v>0</v>
      </c>
      <c r="M86" s="289">
        <f>COUNTIF(LGDM!$C$4:$C$22,C86)</f>
        <v>0</v>
      </c>
      <c r="N86" s="289">
        <f>COUNTIF(LAM!$C$5:$C$21,C86)</f>
        <v>0</v>
      </c>
      <c r="O86" s="243">
        <f>COUNTIF(DEP!$C$3:$C$61,C86)</f>
        <v>0</v>
      </c>
      <c r="P86" s="291">
        <f>SUMIF(LCB!$C$4:$C$45,C86,LCB!$F$4:$F$45)+SUMIF(LM!$C$4:$C$140,C86,LM!$F$4:$F$140)+SUMIF(LO!$C$4:$C$230,C86,LO!$F$4:$F$230)+SUMIF(LE!$C$4:$C$200,C86,LE!$F$4:$F$200)+SUMIF(LN!$C$4:$C$48,C86,LN!$F$4:$F$48)+SUMIF(LCE!$C$4:$C$40,C86,LCE!$F$4:$F$40)+SUMIF(LI!$C$4:$C$55,C86,LI!$F$4:$F$55)+SUMIF(LAP!$C$4:$C$45,C86,LAP!$F$4:$F$45)+SUMIF(LGDM!$C$4:$C$22,C86,LGDM!$F$4:$F$22)+SUMIF(LAM!$C$4:$C$18,C86,LAM!$F$4:$F$18)+SUMIF(DEP!$C$4:$C$55,C86,DEP!$F$4:$F$55)</f>
        <v>90</v>
      </c>
      <c r="Q86" s="243">
        <f>SUMIF(LCB!$C$4:$C$45,C86,LCB!$E$4:$E$45)+SUMIF(LM!$C$4:$C$140,C86,LM!$E$4:$E$140)+SUMIF(LO!$C$4:$C$230,C86,LO!$E$4:$E$230)+SUMIF(LE!$C$4:$C$200,C86,LE!$E$4:$E$200)+SUMIF(LN!$C$4:$C$48,C86,LN!$E$4:$E$48)+SUMIF(LCE!$C$4:$C$40,C86,LCE!$E$4:$E$40)+SUMIF(LI!$C$4:$C$55,C86,LI!$E$4:$E$55)+SUMIF(LAP!$C$4:$C$45,C86,LAP!$E$4:$E$45)+SUMIF(LGDM!$C$4:$C$15,C86,LGDM!$E$4:$E$15)+SUMIF(LAM!$C$5:$C$18,C86,LAM!$E$5:$E$18)+SUMIF(DEP!$C$4:$C$55,C86,DEP!$E$4:$E$55)</f>
        <v>15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ht="13.5" customHeight="1">
      <c r="A87" s="9"/>
      <c r="B87" s="62">
        <v>9.0</v>
      </c>
      <c r="C87" s="38" t="s">
        <v>33</v>
      </c>
      <c r="D87" s="288">
        <f t="shared" si="4"/>
        <v>4</v>
      </c>
      <c r="E87" s="243">
        <f>COUNTIF(LCB!$C$4:$C$40,C87)</f>
        <v>0</v>
      </c>
      <c r="F87" s="243">
        <f>COUNTIF(LM!$C$4:$C$144,C87)</f>
        <v>0</v>
      </c>
      <c r="G87" s="243">
        <f>COUNTIF(LO!$C$4:$C$227,C87)</f>
        <v>0</v>
      </c>
      <c r="H87" s="243">
        <f>COUNTIF(LE!$C$4:$C$214,C87)</f>
        <v>4</v>
      </c>
      <c r="I87" s="289">
        <f>COUNTIF(LN!$C$4:$C$53,C87)</f>
        <v>0</v>
      </c>
      <c r="J87" s="289">
        <f>COUNTIF(LCE!$C$3:$C$43,C87)</f>
        <v>0</v>
      </c>
      <c r="K87" s="289">
        <f>COUNTIF(LI!$C$4:$C$60,C87)</f>
        <v>0</v>
      </c>
      <c r="L87" s="289">
        <f>COUNTIF(LAP!$C$5:$C$45,C87)</f>
        <v>0</v>
      </c>
      <c r="M87" s="289">
        <f>COUNTIF(LGDM!$C$4:$C$22,C87)</f>
        <v>0</v>
      </c>
      <c r="N87" s="289">
        <f>COUNTIF(LAM!$C$5:$C$21,C87)</f>
        <v>0</v>
      </c>
      <c r="O87" s="243">
        <f>COUNTIF(DEP!$C$3:$C$61,C87)</f>
        <v>0</v>
      </c>
      <c r="P87" s="291">
        <f>SUMIF(LCB!$C$4:$C$45,C87,LCB!$F$4:$F$45)+SUMIF(LM!$C$4:$C$140,C87,LM!$F$4:$F$140)+SUMIF(LO!$C$4:$C$230,C87,LO!$F$4:$F$230)+SUMIF(LE!$C$4:$C$200,C87,LE!$F$4:$F$200)+SUMIF(LN!$C$4:$C$48,C87,LN!$F$4:$F$48)+SUMIF(LCE!$C$4:$C$40,C87,LCE!$F$4:$F$40)+SUMIF(LI!$C$4:$C$55,C87,LI!$F$4:$F$55)+SUMIF(LAP!$C$4:$C$45,C87,LAP!$F$4:$F$45)+SUMIF(LGDM!$C$4:$C$22,C87,LGDM!$F$4:$F$22)+SUMIF(LAM!$C$4:$C$18,C87,LAM!$F$4:$F$18)+SUMIF(DEP!$C$4:$C$55,C87,DEP!$F$4:$F$55)</f>
        <v>68</v>
      </c>
      <c r="Q87" s="243">
        <f>SUMIF(LCB!$C$4:$C$45,C87,LCB!$E$4:$E$45)+SUMIF(LM!$C$4:$C$140,C87,LM!$E$4:$E$140)+SUMIF(LO!$C$4:$C$230,C87,LO!$E$4:$E$230)+SUMIF(LE!$C$4:$C$200,C87,LE!$E$4:$E$200)+SUMIF(LN!$C$4:$C$48,C87,LN!$E$4:$E$48)+SUMIF(LCE!$C$4:$C$40,C87,LCE!$E$4:$E$40)+SUMIF(LI!$C$4:$C$55,C87,LI!$E$4:$E$55)+SUMIF(LAP!$C$4:$C$45,C87,LAP!$E$4:$E$45)+SUMIF(LGDM!$C$4:$C$15,C87,LGDM!$E$4:$E$15)+SUMIF(LAM!$C$5:$C$18,C87,LAM!$E$5:$E$18)+SUMIF(DEP!$C$4:$C$55,C87,DEP!$E$4:$E$55)</f>
        <v>22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ht="13.5" customHeight="1">
      <c r="A88" s="9"/>
      <c r="B88" s="62">
        <v>10.0</v>
      </c>
      <c r="C88" s="38" t="s">
        <v>51</v>
      </c>
      <c r="D88" s="288">
        <f t="shared" si="4"/>
        <v>4</v>
      </c>
      <c r="E88" s="243">
        <f>COUNTIF(LCB!$C$4:$C$40,C88)</f>
        <v>0</v>
      </c>
      <c r="F88" s="243">
        <f>COUNTIF(LM!$C$4:$C$144,C88)</f>
        <v>0</v>
      </c>
      <c r="G88" s="243">
        <f>COUNTIF(LO!$C$4:$C$227,C88)</f>
        <v>0</v>
      </c>
      <c r="H88" s="243">
        <f>COUNTIF(LE!$C$4:$C$214,C88)</f>
        <v>4</v>
      </c>
      <c r="I88" s="289">
        <f>COUNTIF(LN!$C$4:$C$53,C88)</f>
        <v>0</v>
      </c>
      <c r="J88" s="289">
        <f>COUNTIF(LCE!$C$3:$C$43,C88)</f>
        <v>0</v>
      </c>
      <c r="K88" s="289">
        <f>COUNTIF(LI!$C$4:$C$60,C88)</f>
        <v>0</v>
      </c>
      <c r="L88" s="289">
        <f>COUNTIF(LAP!$C$5:$C$45,C88)</f>
        <v>0</v>
      </c>
      <c r="M88" s="289">
        <f>COUNTIF(LGDM!$C$4:$C$22,C88)</f>
        <v>0</v>
      </c>
      <c r="N88" s="289">
        <f>COUNTIF(LAM!$C$5:$C$21,C88)</f>
        <v>0</v>
      </c>
      <c r="O88" s="243">
        <f>COUNTIF(DEP!$C$3:$C$61,C88)</f>
        <v>0</v>
      </c>
      <c r="P88" s="291">
        <f>SUMIF(LCB!$C$4:$C$45,C88,LCB!$F$4:$F$45)+SUMIF(LM!$C$4:$C$140,C88,LM!$F$4:$F$140)+SUMIF(LO!$C$4:$C$230,C88,LO!$F$4:$F$230)+SUMIF(LE!$C$4:$C$200,C88,LE!$F$4:$F$200)+SUMIF(LN!$C$4:$C$48,C88,LN!$F$4:$F$48)+SUMIF(LCE!$C$4:$C$40,C88,LCE!$F$4:$F$40)+SUMIF(LI!$C$4:$C$55,C88,LI!$F$4:$F$55)+SUMIF(LAP!$C$4:$C$45,C88,LAP!$F$4:$F$45)+SUMIF(LGDM!$C$4:$C$22,C88,LGDM!$F$4:$F$22)+SUMIF(LAM!$C$4:$C$18,C88,LAM!$F$4:$F$18)+SUMIF(DEP!$C$4:$C$55,C88,DEP!$F$4:$F$55)</f>
        <v>60</v>
      </c>
      <c r="Q88" s="243">
        <f>SUMIF(LCB!$C$4:$C$45,C88,LCB!$E$4:$E$45)+SUMIF(LM!$C$4:$C$140,C88,LM!$E$4:$E$140)+SUMIF(LO!$C$4:$C$230,C88,LO!$E$4:$E$230)+SUMIF(LE!$C$4:$C$200,C88,LE!$E$4:$E$200)+SUMIF(LN!$C$4:$C$48,C88,LN!$E$4:$E$48)+SUMIF(LCE!$C$4:$C$40,C88,LCE!$E$4:$E$40)+SUMIF(LI!$C$4:$C$55,C88,LI!$E$4:$E$55)+SUMIF(LAP!$C$4:$C$45,C88,LAP!$E$4:$E$45)+SUMIF(LGDM!$C$4:$C$15,C88,LGDM!$E$4:$E$15)+SUMIF(LAM!$C$5:$C$18,C88,LAM!$E$5:$E$18)+SUMIF(DEP!$C$4:$C$55,C88,DEP!$E$4:$E$55)</f>
        <v>20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ht="13.5" customHeight="1">
      <c r="A89" s="9"/>
      <c r="B89" s="62">
        <v>11.0</v>
      </c>
      <c r="C89" s="38" t="s">
        <v>87</v>
      </c>
      <c r="D89" s="288">
        <f t="shared" si="4"/>
        <v>2</v>
      </c>
      <c r="E89" s="243">
        <f>COUNTIF(LCB!$C$4:$C$40,C89)</f>
        <v>0</v>
      </c>
      <c r="F89" s="243">
        <f>COUNTIF(LM!$C$4:$C$144,C89)</f>
        <v>0</v>
      </c>
      <c r="G89" s="243">
        <f>COUNTIF(LO!$C$4:$C$227,C89)</f>
        <v>0</v>
      </c>
      <c r="H89" s="243">
        <f>COUNTIF(LE!$C$4:$C$214,C89)</f>
        <v>2</v>
      </c>
      <c r="I89" s="289">
        <f>COUNTIF(LN!$C$4:$C$53,C89)</f>
        <v>0</v>
      </c>
      <c r="J89" s="289">
        <f>COUNTIF(LCE!$C$3:$C$43,C89)</f>
        <v>0</v>
      </c>
      <c r="K89" s="289">
        <f>COUNTIF(LI!$C$4:$C$60,C89)</f>
        <v>0</v>
      </c>
      <c r="L89" s="289">
        <f>COUNTIF(LAP!$C$5:$C$45,C89)</f>
        <v>0</v>
      </c>
      <c r="M89" s="289">
        <f>COUNTIF(LGDM!$C$4:$C$22,C89)</f>
        <v>0</v>
      </c>
      <c r="N89" s="289">
        <f>COUNTIF(LAM!$C$5:$C$21,C89)</f>
        <v>0</v>
      </c>
      <c r="O89" s="243">
        <f>COUNTIF(DEP!$C$3:$C$61,C89)</f>
        <v>0</v>
      </c>
      <c r="P89" s="291">
        <f>SUMIF(LCB!$C$4:$C$45,C89,LCB!$F$4:$F$45)+SUMIF(LM!$C$4:$C$140,C89,LM!$F$4:$F$140)+SUMIF(LO!$C$4:$C$230,C89,LO!$F$4:$F$230)+SUMIF(LE!$C$4:$C$200,C89,LE!$F$4:$F$200)+SUMIF(LN!$C$4:$C$48,C89,LN!$F$4:$F$48)+SUMIF(LCE!$C$4:$C$40,C89,LCE!$F$4:$F$40)+SUMIF(LI!$C$4:$C$55,C89,LI!$F$4:$F$55)+SUMIF(LAP!$C$4:$C$45,C89,LAP!$F$4:$F$45)+SUMIF(LGDM!$C$4:$C$22,C89,LGDM!$F$4:$F$22)+SUMIF(LAM!$C$4:$C$18,C89,LAM!$F$4:$F$18)+SUMIF(DEP!$C$4:$C$55,C89,DEP!$F$4:$F$55)</f>
        <v>0</v>
      </c>
      <c r="Q89" s="243">
        <f>SUMIF(LCB!$C$4:$C$45,C89,LCB!$E$4:$E$45)+SUMIF(LM!$C$4:$C$140,C89,LM!$E$4:$E$140)+SUMIF(LO!$C$4:$C$230,C89,LO!$E$4:$E$230)+SUMIF(LE!$C$4:$C$200,C89,LE!$E$4:$E$200)+SUMIF(LN!$C$4:$C$48,C89,LN!$E$4:$E$48)+SUMIF(LCE!$C$4:$C$40,C89,LCE!$E$4:$E$40)+SUMIF(LI!$C$4:$C$55,C89,LI!$E$4:$E$55)+SUMIF(LAP!$C$4:$C$45,C89,LAP!$E$4:$E$45)+SUMIF(LGDM!$C$4:$C$15,C89,LGDM!$E$4:$E$15)+SUMIF(LAM!$C$5:$C$18,C89,LAM!$E$5:$E$18)+SUMIF(DEP!$C$4:$C$55,C89,DEP!$E$4:$E$55)</f>
        <v>10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ht="13.5" customHeight="1">
      <c r="A90" s="9"/>
      <c r="B90" s="62">
        <v>12.0</v>
      </c>
      <c r="C90" s="38" t="s">
        <v>285</v>
      </c>
      <c r="D90" s="288">
        <f t="shared" si="4"/>
        <v>4</v>
      </c>
      <c r="E90" s="243">
        <f>COUNTIF(LCB!$C$4:$C$40,C90)</f>
        <v>0</v>
      </c>
      <c r="F90" s="243">
        <f>COUNTIF(LM!$C$4:$C$144,C90)</f>
        <v>0</v>
      </c>
      <c r="G90" s="243">
        <f>COUNTIF(LO!$C$4:$C$227,C90)</f>
        <v>0</v>
      </c>
      <c r="H90" s="243">
        <f>COUNTIF(LE!$C$4:$C$214,C90)</f>
        <v>4</v>
      </c>
      <c r="I90" s="289">
        <f>COUNTIF(LN!$C$4:$C$53,C90)</f>
        <v>0</v>
      </c>
      <c r="J90" s="289">
        <f>COUNTIF(LCE!$C$3:$C$43,C90)</f>
        <v>0</v>
      </c>
      <c r="K90" s="289">
        <f>COUNTIF(LI!$C$4:$C$60,C90)</f>
        <v>0</v>
      </c>
      <c r="L90" s="289">
        <f>COUNTIF(LAP!$C$5:$C$45,C90)</f>
        <v>0</v>
      </c>
      <c r="M90" s="289">
        <f>COUNTIF(LGDM!$C$4:$C$22,C90)</f>
        <v>0</v>
      </c>
      <c r="N90" s="289">
        <f>COUNTIF(LAM!$C$5:$C$21,C90)</f>
        <v>0</v>
      </c>
      <c r="O90" s="243">
        <f>COUNTIF(DEP!$C$3:$C$61,C90)</f>
        <v>0</v>
      </c>
      <c r="P90" s="291">
        <f>SUMIF(LCB!$C$4:$C$45,C90,LCB!$F$4:$F$45)+SUMIF(LM!$C$4:$C$140,C90,LM!$F$4:$F$140)+SUMIF(LO!$C$4:$C$230,C90,LO!$F$4:$F$230)+SUMIF(LE!$C$4:$C$200,C90,LE!$F$4:$F$200)+SUMIF(LN!$C$4:$C$48,C90,LN!$F$4:$F$48)+SUMIF(LCE!$C$4:$C$40,C90,LCE!$F$4:$F$40)+SUMIF(LI!$C$4:$C$55,C90,LI!$F$4:$F$55)+SUMIF(LAP!$C$4:$C$45,C90,LAP!$F$4:$F$45)+SUMIF(LGDM!$C$4:$C$22,C90,LGDM!$F$4:$F$22)+SUMIF(LAM!$C$4:$C$18,C90,LAM!$F$4:$F$18)+SUMIF(DEP!$C$4:$C$55,C90,DEP!$F$4:$F$55)</f>
        <v>143</v>
      </c>
      <c r="Q90" s="243">
        <f>SUMIF(LCB!$C$4:$C$45,C90,LCB!$E$4:$E$45)+SUMIF(LM!$C$4:$C$140,C90,LM!$E$4:$E$140)+SUMIF(LO!$C$4:$C$230,C90,LO!$E$4:$E$230)+SUMIF(LE!$C$4:$C$200,C90,LE!$E$4:$E$200)+SUMIF(LN!$C$4:$C$48,C90,LN!$E$4:$E$48)+SUMIF(LCE!$C$4:$C$40,C90,LCE!$E$4:$E$40)+SUMIF(LI!$C$4:$C$55,C90,LI!$E$4:$E$55)+SUMIF(LAP!$C$4:$C$45,C90,LAP!$E$4:$E$45)+SUMIF(LGDM!$C$4:$C$15,C90,LGDM!$E$4:$E$15)+SUMIF(LAM!$C$5:$C$18,C90,LAM!$E$5:$E$18)+SUMIF(DEP!$C$4:$C$55,C90,DEP!$E$4:$E$55)</f>
        <v>20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ht="13.5" customHeight="1">
      <c r="A91" s="9"/>
      <c r="B91" s="62">
        <v>13.0</v>
      </c>
      <c r="C91" s="38" t="s">
        <v>176</v>
      </c>
      <c r="D91" s="288">
        <f t="shared" si="4"/>
        <v>3</v>
      </c>
      <c r="E91" s="243">
        <f>COUNTIF(LCB!$C$4:$C$40,C91)</f>
        <v>0</v>
      </c>
      <c r="F91" s="243">
        <f>COUNTIF(LM!$C$4:$C$144,C91)</f>
        <v>0</v>
      </c>
      <c r="G91" s="243">
        <f>COUNTIF(LO!$C$4:$C$227,C91)</f>
        <v>0</v>
      </c>
      <c r="H91" s="243">
        <f>COUNTIF(LE!$C$4:$C$214,C91)</f>
        <v>3</v>
      </c>
      <c r="I91" s="289">
        <f>COUNTIF(LN!$C$4:$C$53,C91)</f>
        <v>0</v>
      </c>
      <c r="J91" s="289">
        <f>COUNTIF(LCE!$C$3:$C$43,C91)</f>
        <v>0</v>
      </c>
      <c r="K91" s="289">
        <f>COUNTIF(LI!$C$4:$C$60,C91)</f>
        <v>0</v>
      </c>
      <c r="L91" s="289">
        <f>COUNTIF(LAP!$C$5:$C$45,C91)</f>
        <v>0</v>
      </c>
      <c r="M91" s="289">
        <f>COUNTIF(LGDM!$C$4:$C$22,C91)</f>
        <v>0</v>
      </c>
      <c r="N91" s="289">
        <f>COUNTIF(LAM!$C$5:$C$21,C91)</f>
        <v>0</v>
      </c>
      <c r="O91" s="243">
        <f>COUNTIF(DEP!$C$3:$C$61,C91)</f>
        <v>0</v>
      </c>
      <c r="P91" s="291">
        <f>SUMIF(LCB!$C$4:$C$45,C91,LCB!$F$4:$F$45)+SUMIF(LM!$C$4:$C$140,C91,LM!$F$4:$F$140)+SUMIF(LO!$C$4:$C$230,C91,LO!$F$4:$F$230)+SUMIF(LE!$C$4:$C$200,C91,LE!$F$4:$F$200)+SUMIF(LN!$C$4:$C$48,C91,LN!$F$4:$F$48)+SUMIF(LCE!$C$4:$C$40,C91,LCE!$F$4:$F$40)+SUMIF(LI!$C$4:$C$55,C91,LI!$F$4:$F$55)+SUMIF(LAP!$C$4:$C$45,C91,LAP!$F$4:$F$45)+SUMIF(LGDM!$C$4:$C$22,C91,LGDM!$F$4:$F$22)+SUMIF(LAM!$C$4:$C$18,C91,LAM!$F$4:$F$18)+SUMIF(DEP!$C$4:$C$55,C91,DEP!$F$4:$F$55)</f>
        <v>96</v>
      </c>
      <c r="Q91" s="243">
        <f>SUMIF(LCB!$C$4:$C$45,C91,LCB!$E$4:$E$45)+SUMIF(LM!$C$4:$C$140,C91,LM!$E$4:$E$140)+SUMIF(LO!$C$4:$C$230,C91,LO!$E$4:$E$230)+SUMIF(LE!$C$4:$C$200,C91,LE!$E$4:$E$200)+SUMIF(LN!$C$4:$C$48,C91,LN!$E$4:$E$48)+SUMIF(LCE!$C$4:$C$40,C91,LCE!$E$4:$E$40)+SUMIF(LI!$C$4:$C$55,C91,LI!$E$4:$E$55)+SUMIF(LAP!$C$4:$C$45,C91,LAP!$E$4:$E$45)+SUMIF(LGDM!$C$4:$C$15,C91,LGDM!$E$4:$E$15)+SUMIF(LAM!$C$5:$C$18,C91,LAM!$E$5:$E$18)+SUMIF(DEP!$C$4:$C$55,C91,DEP!$E$4:$E$55)</f>
        <v>18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ht="13.5" customHeight="1">
      <c r="A92" s="9"/>
      <c r="B92" s="62">
        <v>14.0</v>
      </c>
      <c r="C92" s="43" t="s">
        <v>97</v>
      </c>
      <c r="D92" s="288">
        <f t="shared" si="4"/>
        <v>5</v>
      </c>
      <c r="E92" s="243">
        <f>COUNTIF(LCB!$C$4:$C$40,C92)</f>
        <v>0</v>
      </c>
      <c r="F92" s="243">
        <f>COUNTIF(LM!$C$4:$C$144,C92)</f>
        <v>0</v>
      </c>
      <c r="G92" s="243">
        <f>COUNTIF(LO!$C$4:$C$227,C92)</f>
        <v>0</v>
      </c>
      <c r="H92" s="243">
        <f>COUNTIF(LE!$C$4:$C$214,C92)</f>
        <v>4</v>
      </c>
      <c r="I92" s="289">
        <f>COUNTIF(LN!$C$4:$C$53,C92)</f>
        <v>0</v>
      </c>
      <c r="J92" s="289">
        <f>COUNTIF(LCE!$C$3:$C$43,C92)</f>
        <v>0</v>
      </c>
      <c r="K92" s="289">
        <f>COUNTIF(LI!$C$4:$C$60,C92)</f>
        <v>0</v>
      </c>
      <c r="L92" s="289">
        <f>COUNTIF(LAP!$C$5:$C$45,C92)</f>
        <v>0</v>
      </c>
      <c r="M92" s="289">
        <f>COUNTIF(LGDM!$C$4:$C$22,C92)</f>
        <v>0</v>
      </c>
      <c r="N92" s="289">
        <f>COUNTIF(LAM!$C$5:$C$21,C92)</f>
        <v>0</v>
      </c>
      <c r="O92" s="243">
        <f>COUNTIF(DEP!$C$3:$C$61,C92)</f>
        <v>1</v>
      </c>
      <c r="P92" s="291">
        <f>SUMIF(LCB!$C$4:$C$45,C92,LCB!$F$4:$F$45)+SUMIF(LM!$C$4:$C$140,C92,LM!$F$4:$F$140)+SUMIF(LO!$C$4:$C$230,C92,LO!$F$4:$F$230)+SUMIF(LE!$C$4:$C$200,C92,LE!$F$4:$F$200)+SUMIF(LN!$C$4:$C$48,C92,LN!$F$4:$F$48)+SUMIF(LCE!$C$4:$C$40,C92,LCE!$F$4:$F$40)+SUMIF(LI!$C$4:$C$55,C92,LI!$F$4:$F$55)+SUMIF(LAP!$C$4:$C$45,C92,LAP!$F$4:$F$45)+SUMIF(LGDM!$C$4:$C$22,C92,LGDM!$F$4:$F$22)+SUMIF(LAM!$C$4:$C$18,C92,LAM!$F$4:$F$18)+SUMIF(DEP!$C$4:$C$55,C92,DEP!$F$4:$F$55)</f>
        <v>0</v>
      </c>
      <c r="Q92" s="243">
        <f>SUMIF(LCB!$C$4:$C$45,C92,LCB!$E$4:$E$45)+SUMIF(LM!$C$4:$C$140,C92,LM!$E$4:$E$140)+SUMIF(LO!$C$4:$C$230,C92,LO!$E$4:$E$230)+SUMIF(LE!$C$4:$C$200,C92,LE!$E$4:$E$200)+SUMIF(LN!$C$4:$C$48,C92,LN!$E$4:$E$48)+SUMIF(LCE!$C$4:$C$40,C92,LCE!$E$4:$E$40)+SUMIF(LI!$C$4:$C$55,C92,LI!$E$4:$E$55)+SUMIF(LAP!$C$4:$C$45,C92,LAP!$E$4:$E$45)+SUMIF(LGDM!$C$4:$C$15,C92,LGDM!$E$4:$E$15)+SUMIF(LAM!$C$5:$C$18,C92,LAM!$E$5:$E$18)+SUMIF(DEP!$C$4:$C$55,C92,DEP!$E$4:$E$55)</f>
        <v>20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ht="13.5" customHeight="1">
      <c r="A93" s="9"/>
      <c r="B93" s="62">
        <v>15.0</v>
      </c>
      <c r="C93" s="38" t="s">
        <v>74</v>
      </c>
      <c r="D93" s="288">
        <f t="shared" si="4"/>
        <v>4</v>
      </c>
      <c r="E93" s="243">
        <f>COUNTIF(LCB!$C$4:$C$40,C93)</f>
        <v>0</v>
      </c>
      <c r="F93" s="243">
        <f>COUNTIF(LM!$C$4:$C$144,C93)</f>
        <v>0</v>
      </c>
      <c r="G93" s="243">
        <f>COUNTIF(LO!$C$4:$C$227,C93)</f>
        <v>0</v>
      </c>
      <c r="H93" s="243">
        <f>COUNTIF(LE!$C$4:$C$214,C93)</f>
        <v>4</v>
      </c>
      <c r="I93" s="289">
        <f>COUNTIF(LN!$C$4:$C$53,C93)</f>
        <v>0</v>
      </c>
      <c r="J93" s="289">
        <f>COUNTIF(LCE!$C$3:$C$43,C93)</f>
        <v>0</v>
      </c>
      <c r="K93" s="289">
        <f>COUNTIF(LI!$C$4:$C$60,C93)</f>
        <v>0</v>
      </c>
      <c r="L93" s="289">
        <f>COUNTIF(LAP!$C$5:$C$45,C93)</f>
        <v>0</v>
      </c>
      <c r="M93" s="289">
        <f>COUNTIF(LGDM!$C$4:$C$22,C93)</f>
        <v>0</v>
      </c>
      <c r="N93" s="289">
        <f>COUNTIF(LAM!$C$5:$C$21,C93)</f>
        <v>0</v>
      </c>
      <c r="O93" s="243">
        <f>COUNTIF(DEP!$C$3:$C$61,C93)</f>
        <v>0</v>
      </c>
      <c r="P93" s="291">
        <f>SUMIF(LCB!$C$4:$C$45,C93,LCB!$F$4:$F$45)+SUMIF(LM!$C$4:$C$140,C93,LM!$F$4:$F$140)+SUMIF(LO!$C$4:$C$230,C93,LO!$F$4:$F$230)+SUMIF(LE!$C$4:$C$200,C93,LE!$F$4:$F$200)+SUMIF(LN!$C$4:$C$48,C93,LN!$F$4:$F$48)+SUMIF(LCE!$C$4:$C$40,C93,LCE!$F$4:$F$40)+SUMIF(LI!$C$4:$C$55,C93,LI!$F$4:$F$55)+SUMIF(LAP!$C$4:$C$45,C93,LAP!$F$4:$F$45)+SUMIF(LGDM!$C$4:$C$22,C93,LGDM!$F$4:$F$22)+SUMIF(LAM!$C$4:$C$18,C93,LAM!$F$4:$F$18)+SUMIF(DEP!$C$4:$C$55,C93,DEP!$F$4:$F$55)</f>
        <v>92</v>
      </c>
      <c r="Q93" s="243">
        <f>SUMIF(LCB!$C$4:$C$45,C93,LCB!$E$4:$E$45)+SUMIF(LM!$C$4:$C$140,C93,LM!$E$4:$E$140)+SUMIF(LO!$C$4:$C$230,C93,LO!$E$4:$E$230)+SUMIF(LE!$C$4:$C$200,C93,LE!$E$4:$E$200)+SUMIF(LN!$C$4:$C$48,C93,LN!$E$4:$E$48)+SUMIF(LCE!$C$4:$C$40,C93,LCE!$E$4:$E$40)+SUMIF(LI!$C$4:$C$55,C93,LI!$E$4:$E$55)+SUMIF(LAP!$C$4:$C$45,C93,LAP!$E$4:$E$45)+SUMIF(LGDM!$C$4:$C$15,C93,LGDM!$E$4:$E$15)+SUMIF(LAM!$C$5:$C$18,C93,LAM!$E$5:$E$18)+SUMIF(DEP!$C$4:$C$55,C93,DEP!$E$4:$E$55)</f>
        <v>20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ht="13.5" customHeight="1">
      <c r="A94" s="9"/>
      <c r="B94" s="62">
        <v>16.0</v>
      </c>
      <c r="C94" s="43" t="s">
        <v>39</v>
      </c>
      <c r="D94" s="288">
        <f t="shared" si="4"/>
        <v>6</v>
      </c>
      <c r="E94" s="243">
        <f>COUNTIF(LCB!$C$4:$C$40,C94)</f>
        <v>0</v>
      </c>
      <c r="F94" s="243">
        <f>COUNTIF(LM!$C$4:$C$144,C94)</f>
        <v>0</v>
      </c>
      <c r="G94" s="243">
        <f>COUNTIF(LO!$C$4:$C$227,C94)</f>
        <v>0</v>
      </c>
      <c r="H94" s="243">
        <f>COUNTIF(LE!$C$4:$C$214,C94)</f>
        <v>6</v>
      </c>
      <c r="I94" s="289">
        <f>COUNTIF(LN!$C$4:$C$53,C94)</f>
        <v>0</v>
      </c>
      <c r="J94" s="289">
        <f>COUNTIF(LCE!$C$3:$C$43,C94)</f>
        <v>0</v>
      </c>
      <c r="K94" s="289">
        <f>COUNTIF(LI!$C$4:$C$60,C94)</f>
        <v>0</v>
      </c>
      <c r="L94" s="289">
        <f>COUNTIF(LAP!$C$5:$C$45,C94)</f>
        <v>0</v>
      </c>
      <c r="M94" s="289">
        <f>COUNTIF(LGDM!$C$4:$C$22,C94)</f>
        <v>0</v>
      </c>
      <c r="N94" s="289">
        <f>COUNTIF(LAM!$C$5:$C$21,C94)</f>
        <v>0</v>
      </c>
      <c r="O94" s="243">
        <f>COUNTIF(DEP!$C$3:$C$61,C94)</f>
        <v>0</v>
      </c>
      <c r="P94" s="291">
        <f>SUMIF(LCB!$C$4:$C$45,C94,LCB!$F$4:$F$45)+SUMIF(LM!$C$4:$C$140,C94,LM!$F$4:$F$140)+SUMIF(LO!$C$4:$C$230,C94,LO!$F$4:$F$230)+SUMIF(LE!$C$4:$C$200,C94,LE!$F$4:$F$200)+SUMIF(LN!$C$4:$C$48,C94,LN!$F$4:$F$48)+SUMIF(LCE!$C$4:$C$40,C94,LCE!$F$4:$F$40)+SUMIF(LI!$C$4:$C$55,C94,LI!$F$4:$F$55)+SUMIF(LAP!$C$4:$C$45,C94,LAP!$F$4:$F$45)+SUMIF(LGDM!$C$4:$C$22,C94,LGDM!$F$4:$F$22)+SUMIF(LAM!$C$4:$C$18,C94,LAM!$F$4:$F$18)+SUMIF(DEP!$C$4:$C$55,C94,DEP!$F$4:$F$55)</f>
        <v>136</v>
      </c>
      <c r="Q94" s="243">
        <f>SUMIF(LCB!$C$4:$C$45,C94,LCB!$E$4:$E$45)+SUMIF(LM!$C$4:$C$140,C94,LM!$E$4:$E$140)+SUMIF(LO!$C$4:$C$230,C94,LO!$E$4:$E$230)+SUMIF(LE!$C$4:$C$200,C94,LE!$E$4:$E$200)+SUMIF(LN!$C$4:$C$48,C94,LN!$E$4:$E$48)+SUMIF(LCE!$C$4:$C$40,C94,LCE!$E$4:$E$40)+SUMIF(LI!$C$4:$C$55,C94,LI!$E$4:$E$55)+SUMIF(LAP!$C$4:$C$45,C94,LAP!$E$4:$E$45)+SUMIF(LGDM!$C$4:$C$15,C94,LGDM!$E$4:$E$15)+SUMIF(LAM!$C$5:$C$18,C94,LAM!$E$5:$E$18)+SUMIF(DEP!$C$4:$C$55,C94,DEP!$E$4:$E$55)</f>
        <v>28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ht="13.5" customHeight="1">
      <c r="A95" s="9"/>
      <c r="B95" s="62">
        <v>17.0</v>
      </c>
      <c r="C95" s="38" t="s">
        <v>194</v>
      </c>
      <c r="D95" s="288">
        <f t="shared" si="4"/>
        <v>4</v>
      </c>
      <c r="E95" s="243">
        <f>COUNTIF(LCB!$C$4:$C$40,C95)</f>
        <v>0</v>
      </c>
      <c r="F95" s="243">
        <f>COUNTIF(LM!$C$4:$C$144,C95)</f>
        <v>0</v>
      </c>
      <c r="G95" s="243">
        <f>COUNTIF(LO!$C$4:$C$227,C95)</f>
        <v>0</v>
      </c>
      <c r="H95" s="243">
        <f>COUNTIF(LE!$C$4:$C$214,C95)</f>
        <v>4</v>
      </c>
      <c r="I95" s="289">
        <f>COUNTIF(LN!$C$4:$C$53,C95)</f>
        <v>0</v>
      </c>
      <c r="J95" s="289">
        <f>COUNTIF(LCE!$C$3:$C$43,C95)</f>
        <v>0</v>
      </c>
      <c r="K95" s="289">
        <f>COUNTIF(LI!$C$4:$C$60,C95)</f>
        <v>0</v>
      </c>
      <c r="L95" s="289">
        <f>COUNTIF(LAP!$C$5:$C$45,C95)</f>
        <v>0</v>
      </c>
      <c r="M95" s="289">
        <f>COUNTIF(LGDM!$C$4:$C$22,C95)</f>
        <v>0</v>
      </c>
      <c r="N95" s="289">
        <f>COUNTIF(LAM!$C$5:$C$21,C95)</f>
        <v>0</v>
      </c>
      <c r="O95" s="243">
        <f>COUNTIF(DEP!$C$3:$C$61,C95)</f>
        <v>0</v>
      </c>
      <c r="P95" s="291">
        <f>SUMIF(LCB!$C$4:$C$45,C95,LCB!$F$4:$F$45)+SUMIF(LM!$C$4:$C$140,C95,LM!$F$4:$F$140)+SUMIF(LO!$C$4:$C$230,C95,LO!$F$4:$F$230)+SUMIF(LE!$C$4:$C$200,C95,LE!$F$4:$F$200)+SUMIF(LN!$C$4:$C$48,C95,LN!$F$4:$F$48)+SUMIF(LCE!$C$4:$C$40,C95,LCE!$F$4:$F$40)+SUMIF(LI!$C$4:$C$55,C95,LI!$F$4:$F$55)+SUMIF(LAP!$C$4:$C$45,C95,LAP!$F$4:$F$45)+SUMIF(LGDM!$C$4:$C$22,C95,LGDM!$F$4:$F$22)+SUMIF(LAM!$C$4:$C$18,C95,LAM!$F$4:$F$18)+SUMIF(DEP!$C$4:$C$55,C95,DEP!$F$4:$F$55)</f>
        <v>130</v>
      </c>
      <c r="Q95" s="243">
        <f>SUMIF(LCB!$C$4:$C$45,C95,LCB!$E$4:$E$45)+SUMIF(LM!$C$4:$C$140,C95,LM!$E$4:$E$140)+SUMIF(LO!$C$4:$C$230,C95,LO!$E$4:$E$230)+SUMIF(LE!$C$4:$C$200,C95,LE!$E$4:$E$200)+SUMIF(LN!$C$4:$C$48,C95,LN!$E$4:$E$48)+SUMIF(LCE!$C$4:$C$40,C95,LCE!$E$4:$E$40)+SUMIF(LI!$C$4:$C$55,C95,LI!$E$4:$E$55)+SUMIF(LAP!$C$4:$C$45,C95,LAP!$E$4:$E$45)+SUMIF(LGDM!$C$4:$C$15,C95,LGDM!$E$4:$E$15)+SUMIF(LAM!$C$5:$C$18,C95,LAM!$E$5:$E$18)+SUMIF(DEP!$C$4:$C$55,C95,DEP!$E$4:$E$55)</f>
        <v>22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ht="13.5" customHeight="1">
      <c r="A96" s="9"/>
      <c r="B96" s="62">
        <v>18.0</v>
      </c>
      <c r="C96" s="1" t="s">
        <v>158</v>
      </c>
      <c r="D96" s="288">
        <f t="shared" si="4"/>
        <v>4</v>
      </c>
      <c r="E96" s="243">
        <f>COUNTIF(LCB!$C$4:$C$40,C96)</f>
        <v>0</v>
      </c>
      <c r="F96" s="243">
        <f>COUNTIF(LM!$C$4:$C$144,C96)</f>
        <v>0</v>
      </c>
      <c r="G96" s="243">
        <f>COUNTIF(LO!$C$4:$C$227,C96)</f>
        <v>0</v>
      </c>
      <c r="H96" s="243">
        <f>COUNTIF(LE!$C$4:$C$214,C96)</f>
        <v>4</v>
      </c>
      <c r="I96" s="289">
        <f>COUNTIF(LN!$C$4:$C$53,C96)</f>
        <v>0</v>
      </c>
      <c r="J96" s="289">
        <f>COUNTIF(LCE!$C$3:$C$43,C96)</f>
        <v>0</v>
      </c>
      <c r="K96" s="289">
        <f>COUNTIF(LI!$C$4:$C$60,C96)</f>
        <v>0</v>
      </c>
      <c r="L96" s="289">
        <f>COUNTIF(LAP!$C$5:$C$45,C96)</f>
        <v>0</v>
      </c>
      <c r="M96" s="289">
        <f>COUNTIF(LGDM!$C$4:$C$22,C96)</f>
        <v>0</v>
      </c>
      <c r="N96" s="289">
        <f>COUNTIF(LAM!$C$5:$C$21,C96)</f>
        <v>0</v>
      </c>
      <c r="O96" s="243">
        <f>COUNTIF(DEP!$C$3:$C$61,C96)</f>
        <v>0</v>
      </c>
      <c r="P96" s="291">
        <f>SUMIF(LCB!$C$4:$C$45,C96,LCB!$F$4:$F$45)+SUMIF(LM!$C$4:$C$140,C96,LM!$F$4:$F$140)+SUMIF(LO!$C$4:$C$230,C96,LO!$F$4:$F$230)+SUMIF(LE!$C$4:$C$200,C96,LE!$F$4:$F$200)+SUMIF(LN!$C$4:$C$48,C96,LN!$F$4:$F$48)+SUMIF(LCE!$C$4:$C$40,C96,LCE!$F$4:$F$40)+SUMIF(LI!$C$4:$C$55,C96,LI!$F$4:$F$55)+SUMIF(LAP!$C$4:$C$45,C96,LAP!$F$4:$F$45)+SUMIF(LGDM!$C$4:$C$22,C96,LGDM!$F$4:$F$22)+SUMIF(LAM!$C$4:$C$18,C96,LAM!$F$4:$F$18)+SUMIF(DEP!$C$4:$C$55,C96,DEP!$F$4:$F$55)</f>
        <v>129</v>
      </c>
      <c r="Q96" s="243">
        <f>SUMIF(LCB!$C$4:$C$45,C96,LCB!$E$4:$E$45)+SUMIF(LM!$C$4:$C$140,C96,LM!$E$4:$E$140)+SUMIF(LO!$C$4:$C$230,C96,LO!$E$4:$E$230)+SUMIF(LE!$C$4:$C$200,C96,LE!$E$4:$E$200)+SUMIF(LN!$C$4:$C$48,C96,LN!$E$4:$E$48)+SUMIF(LCE!$C$4:$C$40,C96,LCE!$E$4:$E$40)+SUMIF(LI!$C$4:$C$55,C96,LI!$E$4:$E$55)+SUMIF(LAP!$C$4:$C$45,C96,LAP!$E$4:$E$45)+SUMIF(LGDM!$C$4:$C$15,C96,LGDM!$E$4:$E$15)+SUMIF(LAM!$C$5:$C$18,C96,LAM!$E$5:$E$18)+SUMIF(DEP!$C$4:$C$55,C96,DEP!$E$4:$E$55)</f>
        <v>24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ht="13.5" customHeight="1">
      <c r="A97" s="9"/>
      <c r="B97" s="62">
        <v>19.0</v>
      </c>
      <c r="C97" s="1" t="s">
        <v>92</v>
      </c>
      <c r="D97" s="288">
        <f t="shared" si="4"/>
        <v>4</v>
      </c>
      <c r="E97" s="243">
        <f>COUNTIF(LCB!$C$4:$C$40,C97)</f>
        <v>0</v>
      </c>
      <c r="F97" s="243">
        <f>COUNTIF(LM!$C$4:$C$144,C97)</f>
        <v>0</v>
      </c>
      <c r="G97" s="243">
        <f>COUNTIF(LO!$C$4:$C$227,C97)</f>
        <v>0</v>
      </c>
      <c r="H97" s="243">
        <f>COUNTIF(LE!$C$4:$C$214,C97)</f>
        <v>4</v>
      </c>
      <c r="I97" s="289">
        <f>COUNTIF(LN!$C$4:$C$53,C97)</f>
        <v>0</v>
      </c>
      <c r="J97" s="289">
        <f>COUNTIF(LCE!$C$3:$C$43,C97)</f>
        <v>0</v>
      </c>
      <c r="K97" s="289">
        <f>COUNTIF(LI!$C$4:$C$60,C97)</f>
        <v>0</v>
      </c>
      <c r="L97" s="289">
        <f>COUNTIF(LAP!$C$5:$C$45,C97)</f>
        <v>0</v>
      </c>
      <c r="M97" s="289">
        <f>COUNTIF(LGDM!$C$4:$C$22,C97)</f>
        <v>0</v>
      </c>
      <c r="N97" s="289">
        <f>COUNTIF(LAM!$C$5:$C$21,C97)</f>
        <v>0</v>
      </c>
      <c r="O97" s="243">
        <f>COUNTIF(DEP!$C$3:$C$61,C97)</f>
        <v>0</v>
      </c>
      <c r="P97" s="291">
        <f>SUMIF(LCB!$C$4:$C$45,C97,LCB!$F$4:$F$45)+SUMIF(LM!$C$4:$C$140,C97,LM!$F$4:$F$140)+SUMIF(LO!$C$4:$C$230,C97,LO!$F$4:$F$230)+SUMIF(LE!$C$4:$C$200,C97,LE!$F$4:$F$200)+SUMIF(LN!$C$4:$C$48,C97,LN!$F$4:$F$48)+SUMIF(LCE!$C$4:$C$40,C97,LCE!$F$4:$F$40)+SUMIF(LI!$C$4:$C$55,C97,LI!$F$4:$F$55)+SUMIF(LAP!$C$4:$C$45,C97,LAP!$F$4:$F$45)+SUMIF(LGDM!$C$4:$C$22,C97,LGDM!$F$4:$F$22)+SUMIF(LAM!$C$4:$C$18,C97,LAM!$F$4:$F$18)+SUMIF(DEP!$C$4:$C$55,C97,DEP!$F$4:$F$55)</f>
        <v>35</v>
      </c>
      <c r="Q97" s="243">
        <f>SUMIF(LCB!$C$4:$C$45,C97,LCB!$E$4:$E$45)+SUMIF(LM!$C$4:$C$140,C97,LM!$E$4:$E$140)+SUMIF(LO!$C$4:$C$230,C97,LO!$E$4:$E$230)+SUMIF(LE!$C$4:$C$200,C97,LE!$E$4:$E$200)+SUMIF(LN!$C$4:$C$48,C97,LN!$E$4:$E$48)+SUMIF(LCE!$C$4:$C$40,C97,LCE!$E$4:$E$40)+SUMIF(LI!$C$4:$C$55,C97,LI!$E$4:$E$55)+SUMIF(LAP!$C$4:$C$45,C97,LAP!$E$4:$E$45)+SUMIF(LGDM!$C$4:$C$15,C97,LGDM!$E$4:$E$15)+SUMIF(LAM!$C$5:$C$18,C97,LAM!$E$5:$E$18)+SUMIF(DEP!$C$4:$C$55,C97,DEP!$E$4:$E$55)</f>
        <v>20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ht="13.5" customHeight="1">
      <c r="A98" s="9"/>
      <c r="B98" s="62">
        <v>20.0</v>
      </c>
      <c r="C98" s="41" t="s">
        <v>355</v>
      </c>
      <c r="D98" s="288">
        <f t="shared" si="4"/>
        <v>0</v>
      </c>
      <c r="E98" s="243">
        <f>COUNTIF(LCB!$C$4:$C$40,C98)</f>
        <v>0</v>
      </c>
      <c r="F98" s="243">
        <f>COUNTIF(LM!$C$4:$C$144,C98)</f>
        <v>0</v>
      </c>
      <c r="G98" s="243">
        <f>COUNTIF(LO!$C$4:$C$227,C98)</f>
        <v>0</v>
      </c>
      <c r="H98" s="243">
        <f>COUNTIF(LE!$C$4:$C$214,C98)</f>
        <v>0</v>
      </c>
      <c r="I98" s="289">
        <f>COUNTIF(LN!$C$4:$C$53,C98)</f>
        <v>0</v>
      </c>
      <c r="J98" s="289">
        <f>COUNTIF(LCE!$C$3:$C$43,C98)</f>
        <v>0</v>
      </c>
      <c r="K98" s="289">
        <f>COUNTIF(LI!$C$4:$C$60,C98)</f>
        <v>0</v>
      </c>
      <c r="L98" s="289">
        <f>COUNTIF(LAP!$C$5:$C$45,C98)</f>
        <v>0</v>
      </c>
      <c r="M98" s="289">
        <f>COUNTIF(LGDM!$C$4:$C$22,C98)</f>
        <v>0</v>
      </c>
      <c r="N98" s="289">
        <f>COUNTIF(LAM!$C$5:$C$21,C98)</f>
        <v>0</v>
      </c>
      <c r="O98" s="243">
        <f>COUNTIF(DEP!$C$3:$C$61,C98)</f>
        <v>0</v>
      </c>
      <c r="P98" s="291">
        <f>SUMIF(LCB!$C$4:$C$45,C98,LCB!$F$4:$F$45)+SUMIF(LM!$C$4:$C$140,C98,LM!$F$4:$F$140)+SUMIF(LO!$C$4:$C$230,C98,LO!$F$4:$F$230)+SUMIF(LE!$C$4:$C$200,C98,LE!$F$4:$F$200)+SUMIF(LN!$C$4:$C$48,C98,LN!$F$4:$F$48)+SUMIF(LCE!$C$4:$C$40,C98,LCE!$F$4:$F$40)+SUMIF(LI!$C$4:$C$55,C98,LI!$F$4:$F$55)+SUMIF(LAP!$C$4:$C$45,C98,LAP!$F$4:$F$45)+SUMIF(LGDM!$C$4:$C$22,C98,LGDM!$F$4:$F$22)+SUMIF(LAM!$C$4:$C$18,C98,LAM!$F$4:$F$18)+SUMIF(DEP!$C$4:$C$55,C98,DEP!$F$4:$F$55)</f>
        <v>0</v>
      </c>
      <c r="Q98" s="243">
        <f>SUMIF(LCB!$C$4:$C$45,C98,LCB!$E$4:$E$45)+SUMIF(LM!$C$4:$C$140,C98,LM!$E$4:$E$140)+SUMIF(LO!$C$4:$C$230,C98,LO!$E$4:$E$230)+SUMIF(LE!$C$4:$C$200,C98,LE!$E$4:$E$200)+SUMIF(LN!$C$4:$C$48,C98,LN!$E$4:$E$48)+SUMIF(LCE!$C$4:$C$40,C98,LCE!$E$4:$E$40)+SUMIF(LI!$C$4:$C$55,C98,LI!$E$4:$E$55)+SUMIF(LAP!$C$4:$C$45,C98,LAP!$E$4:$E$45)+SUMIF(LGDM!$C$4:$C$15,C98,LGDM!$E$4:$E$15)+SUMIF(LAM!$C$5:$C$18,C98,LAM!$E$5:$E$18)+SUMIF(DEP!$C$4:$C$55,C98,DEP!$E$4:$E$55)</f>
        <v>0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ht="13.5" customHeight="1">
      <c r="A99" s="9"/>
      <c r="B99" s="62">
        <v>21.0</v>
      </c>
      <c r="C99" s="33" t="s">
        <v>14</v>
      </c>
      <c r="D99" s="288">
        <f t="shared" si="4"/>
        <v>4</v>
      </c>
      <c r="E99" s="243">
        <f>COUNTIF(LCB!$C$4:$C$40,C99)</f>
        <v>0</v>
      </c>
      <c r="F99" s="243">
        <f>COUNTIF(LM!$C$4:$C$144,C99)</f>
        <v>0</v>
      </c>
      <c r="G99" s="243">
        <f>COUNTIF(LO!$C$4:$C$227,C99)</f>
        <v>0</v>
      </c>
      <c r="H99" s="243">
        <f>COUNTIF(LE!$C$4:$C$214,C99)</f>
        <v>4</v>
      </c>
      <c r="I99" s="289">
        <f>COUNTIF(LN!$C$4:$C$53,C99)</f>
        <v>0</v>
      </c>
      <c r="J99" s="289">
        <f>COUNTIF(LCE!$C$3:$C$43,C99)</f>
        <v>0</v>
      </c>
      <c r="K99" s="289">
        <f>COUNTIF(LI!$C$4:$C$60,C99)</f>
        <v>0</v>
      </c>
      <c r="L99" s="289">
        <f>COUNTIF(LAP!$C$5:$C$45,C99)</f>
        <v>0</v>
      </c>
      <c r="M99" s="289">
        <f>COUNTIF(LGDM!$C$4:$C$22,C99)</f>
        <v>0</v>
      </c>
      <c r="N99" s="289">
        <f>COUNTIF(LAM!$C$5:$C$21,C99)</f>
        <v>0</v>
      </c>
      <c r="O99" s="243">
        <f>COUNTIF(DEP!$C$3:$C$61,C99)</f>
        <v>0</v>
      </c>
      <c r="P99" s="291">
        <f>SUMIF(LCB!$C$4:$C$45,C99,LCB!$F$4:$F$45)+SUMIF(LM!$C$4:$C$140,C99,LM!$F$4:$F$140)+SUMIF(LO!$C$4:$C$230,C99,LO!$F$4:$F$230)+SUMIF(LE!$C$4:$C$200,C99,LE!$F$4:$F$200)+SUMIF(LN!$C$4:$C$48,C99,LN!$F$4:$F$48)+SUMIF(LCE!$C$4:$C$40,C99,LCE!$F$4:$F$40)+SUMIF(LI!$C$4:$C$55,C99,LI!$F$4:$F$55)+SUMIF(LAP!$C$4:$C$45,C99,LAP!$F$4:$F$45)+SUMIF(LGDM!$C$4:$C$22,C99,LGDM!$F$4:$F$22)+SUMIF(LAM!$C$4:$C$18,C99,LAM!$F$4:$F$18)+SUMIF(DEP!$C$4:$C$55,C99,DEP!$F$4:$F$55)</f>
        <v>62</v>
      </c>
      <c r="Q99" s="243">
        <f>SUMIF(LCB!$C$4:$C$45,C99,LCB!$E$4:$E$45)+SUMIF(LM!$C$4:$C$140,C99,LM!$E$4:$E$140)+SUMIF(LO!$C$4:$C$230,C99,LO!$E$4:$E$230)+SUMIF(LE!$C$4:$C$200,C99,LE!$E$4:$E$200)+SUMIF(LN!$C$4:$C$48,C99,LN!$E$4:$E$48)+SUMIF(LCE!$C$4:$C$40,C99,LCE!$E$4:$E$40)+SUMIF(LI!$C$4:$C$55,C99,LI!$E$4:$E$55)+SUMIF(LAP!$C$4:$C$45,C99,LAP!$E$4:$E$45)+SUMIF(LGDM!$C$4:$C$15,C99,LGDM!$E$4:$E$15)+SUMIF(LAM!$C$5:$C$18,C99,LAM!$E$5:$E$18)+SUMIF(DEP!$C$4:$C$55,C99,DEP!$E$4:$E$55)</f>
        <v>20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ht="15.75" customHeight="1">
      <c r="A100" s="9"/>
      <c r="B100" s="62">
        <v>22.0</v>
      </c>
      <c r="C100" s="33" t="s">
        <v>187</v>
      </c>
      <c r="D100" s="288">
        <f t="shared" si="4"/>
        <v>3</v>
      </c>
      <c r="E100" s="243">
        <f>COUNTIF(LCB!$C$4:$C$40,C100)</f>
        <v>0</v>
      </c>
      <c r="F100" s="243">
        <f>COUNTIF(LM!$C$4:$C$144,C100)</f>
        <v>0</v>
      </c>
      <c r="G100" s="243">
        <f>COUNTIF(LO!$C$4:$C$227,C100)</f>
        <v>0</v>
      </c>
      <c r="H100" s="243">
        <f>COUNTIF(LE!$C$4:$C$214,C100)</f>
        <v>3</v>
      </c>
      <c r="I100" s="289">
        <f>COUNTIF(LN!$C$4:$C$53,C100)</f>
        <v>0</v>
      </c>
      <c r="J100" s="289">
        <f>COUNTIF(LCE!$C$3:$C$43,C100)</f>
        <v>0</v>
      </c>
      <c r="K100" s="289">
        <f>COUNTIF(LI!$C$4:$C$60,C100)</f>
        <v>0</v>
      </c>
      <c r="L100" s="289">
        <f>COUNTIF(LAP!$C$5:$C$45,C100)</f>
        <v>0</v>
      </c>
      <c r="M100" s="289">
        <f>COUNTIF(LGDM!$C$4:$C$22,C100)</f>
        <v>0</v>
      </c>
      <c r="N100" s="289">
        <f>COUNTIF(LAM!$C$5:$C$21,C100)</f>
        <v>0</v>
      </c>
      <c r="O100" s="243">
        <f>COUNTIF(DEP!$C$3:$C$61,C100)</f>
        <v>0</v>
      </c>
      <c r="P100" s="291">
        <f>SUMIF(LCB!$C$4:$C$45,C100,LCB!$F$4:$F$45)+SUMIF(LM!$C$4:$C$140,C100,LM!$F$4:$F$140)+SUMIF(LO!$C$4:$C$230,C100,LO!$F$4:$F$230)+SUMIF(LE!$C$4:$C$200,C100,LE!$F$4:$F$200)+SUMIF(LN!$C$4:$C$48,C100,LN!$F$4:$F$48)+SUMIF(LCE!$C$4:$C$40,C100,LCE!$F$4:$F$40)+SUMIF(LI!$C$4:$C$55,C100,LI!$F$4:$F$55)+SUMIF(LAP!$C$4:$C$45,C100,LAP!$F$4:$F$45)+SUMIF(LGDM!$C$4:$C$22,C100,LGDM!$F$4:$F$22)+SUMIF(LAM!$C$4:$C$18,C100,LAM!$F$4:$F$18)+SUMIF(DEP!$C$4:$C$55,C100,DEP!$F$4:$F$55)</f>
        <v>95</v>
      </c>
      <c r="Q100" s="243">
        <f>SUMIF(LCB!$C$4:$C$45,C100,LCB!$E$4:$E$45)+SUMIF(LM!$C$4:$C$140,C100,LM!$E$4:$E$140)+SUMIF(LO!$C$4:$C$230,C100,LO!$E$4:$E$230)+SUMIF(LE!$C$4:$C$200,C100,LE!$E$4:$E$200)+SUMIF(LN!$C$4:$C$48,C100,LN!$E$4:$E$48)+SUMIF(LCE!$C$4:$C$40,C100,LCE!$E$4:$E$40)+SUMIF(LI!$C$4:$C$55,C100,LI!$E$4:$E$55)+SUMIF(LAP!$C$4:$C$45,C100,LAP!$E$4:$E$45)+SUMIF(LGDM!$C$4:$C$15,C100,LGDM!$E$4:$E$15)+SUMIF(LAM!$C$5:$C$18,C100,LAM!$E$5:$E$18)+SUMIF(DEP!$C$4:$C$55,C100,DEP!$E$4:$E$55)</f>
        <v>15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ht="15.75" customHeight="1">
      <c r="A101" s="9"/>
      <c r="B101" s="62">
        <v>23.0</v>
      </c>
      <c r="C101" s="1" t="s">
        <v>146</v>
      </c>
      <c r="D101" s="288">
        <f t="shared" si="4"/>
        <v>4</v>
      </c>
      <c r="E101" s="243">
        <f>COUNTIF(LCB!$C$4:$C$40,C101)</f>
        <v>0</v>
      </c>
      <c r="F101" s="243">
        <f>COUNTIF(LM!$C$4:$C$144,C101)</f>
        <v>0</v>
      </c>
      <c r="G101" s="243">
        <f>COUNTIF(LO!$C$4:$C$227,C101)</f>
        <v>0</v>
      </c>
      <c r="H101" s="243">
        <f>COUNTIF(LE!$C$4:$C$214,C101)</f>
        <v>4</v>
      </c>
      <c r="I101" s="289">
        <f>COUNTIF(LN!$C$4:$C$53,C101)</f>
        <v>0</v>
      </c>
      <c r="J101" s="289">
        <f>COUNTIF(LCE!$C$3:$C$43,C101)</f>
        <v>0</v>
      </c>
      <c r="K101" s="289">
        <f>COUNTIF(LI!$C$4:$C$60,C101)</f>
        <v>0</v>
      </c>
      <c r="L101" s="289">
        <f>COUNTIF(LAP!$C$5:$C$45,C101)</f>
        <v>0</v>
      </c>
      <c r="M101" s="289">
        <f>COUNTIF(LGDM!$C$4:$C$22,C101)</f>
        <v>0</v>
      </c>
      <c r="N101" s="289">
        <f>COUNTIF(LAM!$C$5:$C$21,C101)</f>
        <v>0</v>
      </c>
      <c r="O101" s="243">
        <f>COUNTIF(DEP!$C$3:$C$61,C101)</f>
        <v>0</v>
      </c>
      <c r="P101" s="291">
        <f>SUMIF(LCB!$C$4:$C$45,C101,LCB!$F$4:$F$45)+SUMIF(LM!$C$4:$C$140,C101,LM!$F$4:$F$140)+SUMIF(LO!$C$4:$C$230,C101,LO!$F$4:$F$230)+SUMIF(LE!$C$4:$C$200,C101,LE!$F$4:$F$200)+SUMIF(LN!$C$4:$C$48,C101,LN!$F$4:$F$48)+SUMIF(LCE!$C$4:$C$40,C101,LCE!$F$4:$F$40)+SUMIF(LI!$C$4:$C$55,C101,LI!$F$4:$F$55)+SUMIF(LAP!$C$4:$C$45,C101,LAP!$F$4:$F$45)+SUMIF(LGDM!$C$4:$C$22,C101,LGDM!$F$4:$F$22)+SUMIF(LAM!$C$4:$C$18,C101,LAM!$F$4:$F$18)+SUMIF(DEP!$C$4:$C$55,C101,DEP!$F$4:$F$55)</f>
        <v>70</v>
      </c>
      <c r="Q101" s="243">
        <f>SUMIF(LCB!$C$4:$C$45,C101,LCB!$E$4:$E$45)+SUMIF(LM!$C$4:$C$140,C101,LM!$E$4:$E$140)+SUMIF(LO!$C$4:$C$230,C101,LO!$E$4:$E$230)+SUMIF(LE!$C$4:$C$200,C101,LE!$E$4:$E$200)+SUMIF(LN!$C$4:$C$48,C101,LN!$E$4:$E$48)+SUMIF(LCE!$C$4:$C$40,C101,LCE!$E$4:$E$40)+SUMIF(LI!$C$4:$C$55,C101,LI!$E$4:$E$55)+SUMIF(LAP!$C$4:$C$45,C101,LAP!$E$4:$E$45)+SUMIF(LGDM!$C$4:$C$15,C101,LGDM!$E$4:$E$15)+SUMIF(LAM!$C$5:$C$18,C101,LAM!$E$5:$E$18)+SUMIF(DEP!$C$4:$C$55,C101,DEP!$E$4:$E$55)</f>
        <v>22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ht="15.75" customHeight="1">
      <c r="A102" s="9"/>
      <c r="B102" s="62">
        <v>24.0</v>
      </c>
      <c r="C102" s="1" t="s">
        <v>67</v>
      </c>
      <c r="D102" s="288">
        <f t="shared" si="4"/>
        <v>3</v>
      </c>
      <c r="E102" s="243">
        <f>COUNTIF(LCB!$C$4:$C$40,C102)</f>
        <v>0</v>
      </c>
      <c r="F102" s="243">
        <f>COUNTIF(LM!$C$4:$C$144,C102)</f>
        <v>0</v>
      </c>
      <c r="G102" s="243">
        <f>COUNTIF(LO!$C$4:$C$227,C102)</f>
        <v>0</v>
      </c>
      <c r="H102" s="243">
        <f>COUNTIF(LE!$C$4:$C$214,C102)</f>
        <v>3</v>
      </c>
      <c r="I102" s="289">
        <f>COUNTIF(LN!$C$4:$C$53,C102)</f>
        <v>0</v>
      </c>
      <c r="J102" s="289">
        <f>COUNTIF(LCE!$C$3:$C$43,C102)</f>
        <v>0</v>
      </c>
      <c r="K102" s="289">
        <f>COUNTIF(LI!$C$4:$C$60,C102)</f>
        <v>0</v>
      </c>
      <c r="L102" s="289">
        <f>COUNTIF(LAP!$C$5:$C$45,C102)</f>
        <v>0</v>
      </c>
      <c r="M102" s="289">
        <f>COUNTIF(LGDM!$C$4:$C$22,C102)</f>
        <v>0</v>
      </c>
      <c r="N102" s="289">
        <f>COUNTIF(LAM!$C$5:$C$21,C102)</f>
        <v>0</v>
      </c>
      <c r="O102" s="243">
        <f>COUNTIF(DEP!$C$3:$C$61,C102)</f>
        <v>0</v>
      </c>
      <c r="P102" s="291">
        <f>SUMIF(LCB!$C$4:$C$45,C102,LCB!$F$4:$F$45)+SUMIF(LM!$C$4:$C$140,C102,LM!$F$4:$F$140)+SUMIF(LO!$C$4:$C$230,C102,LO!$F$4:$F$230)+SUMIF(LE!$C$4:$C$200,C102,LE!$F$4:$F$200)+SUMIF(LN!$C$4:$C$48,C102,LN!$F$4:$F$48)+SUMIF(LCE!$C$4:$C$40,C102,LCE!$F$4:$F$40)+SUMIF(LI!$C$4:$C$55,C102,LI!$F$4:$F$55)+SUMIF(LAP!$C$4:$C$45,C102,LAP!$F$4:$F$45)+SUMIF(LGDM!$C$4:$C$22,C102,LGDM!$F$4:$F$22)+SUMIF(LAM!$C$4:$C$18,C102,LAM!$F$4:$F$18)+SUMIF(DEP!$C$4:$C$55,C102,DEP!$F$4:$F$55)</f>
        <v>0</v>
      </c>
      <c r="Q102" s="243">
        <f>SUMIF(LCB!$C$4:$C$45,C102,LCB!$E$4:$E$45)+SUMIF(LM!$C$4:$C$140,C102,LM!$E$4:$E$140)+SUMIF(LO!$C$4:$C$230,C102,LO!$E$4:$E$230)+SUMIF(LE!$C$4:$C$200,C102,LE!$E$4:$E$200)+SUMIF(LN!$C$4:$C$48,C102,LN!$E$4:$E$48)+SUMIF(LCE!$C$4:$C$40,C102,LCE!$E$4:$E$40)+SUMIF(LI!$C$4:$C$55,C102,LI!$E$4:$E$55)+SUMIF(LAP!$C$4:$C$45,C102,LAP!$E$4:$E$45)+SUMIF(LGDM!$C$4:$C$15,C102,LGDM!$E$4:$E$15)+SUMIF(LAM!$C$5:$C$18,C102,LAM!$E$5:$E$18)+SUMIF(DEP!$C$4:$C$55,C102,DEP!$E$4:$E$55)</f>
        <v>15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ht="15.75" customHeight="1">
      <c r="A103" s="9"/>
      <c r="B103" s="62">
        <v>25.0</v>
      </c>
      <c r="C103" s="31" t="s">
        <v>70</v>
      </c>
      <c r="D103" s="288">
        <f t="shared" si="4"/>
        <v>3</v>
      </c>
      <c r="E103" s="243">
        <f>COUNTIF(LCB!$C$4:$C$40,C103)</f>
        <v>0</v>
      </c>
      <c r="F103" s="243">
        <f>COUNTIF(LM!$C$4:$C$144,C103)</f>
        <v>0</v>
      </c>
      <c r="G103" s="243">
        <f>COUNTIF(LO!$C$4:$C$227,C103)</f>
        <v>0</v>
      </c>
      <c r="H103" s="243">
        <f>COUNTIF(LE!$C$4:$C$214,C103)</f>
        <v>3</v>
      </c>
      <c r="I103" s="289">
        <f>COUNTIF(LN!$C$4:$C$53,C103)</f>
        <v>0</v>
      </c>
      <c r="J103" s="289">
        <f>COUNTIF(LCE!$C$3:$C$43,C103)</f>
        <v>0</v>
      </c>
      <c r="K103" s="289">
        <f>COUNTIF(LI!$C$4:$C$60,C103)</f>
        <v>0</v>
      </c>
      <c r="L103" s="289">
        <f>COUNTIF(LAP!$C$5:$C$45,C103)</f>
        <v>0</v>
      </c>
      <c r="M103" s="289">
        <f>COUNTIF(LGDM!$C$4:$C$22,C103)</f>
        <v>0</v>
      </c>
      <c r="N103" s="289">
        <f>COUNTIF(LAM!$C$5:$C$21,C103)</f>
        <v>0</v>
      </c>
      <c r="O103" s="243">
        <f>COUNTIF(DEP!$C$3:$C$61,C103)</f>
        <v>0</v>
      </c>
      <c r="P103" s="291">
        <f>SUMIF(LCB!$C$4:$C$45,C103,LCB!$F$4:$F$45)+SUMIF(LM!$C$4:$C$140,C103,LM!$F$4:$F$140)+SUMIF(LO!$C$4:$C$230,C103,LO!$F$4:$F$230)+SUMIF(LE!$C$4:$C$200,C103,LE!$F$4:$F$200)+SUMIF(LN!$C$4:$C$48,C103,LN!$F$4:$F$48)+SUMIF(LCE!$C$4:$C$40,C103,LCE!$F$4:$F$40)+SUMIF(LI!$C$4:$C$55,C103,LI!$F$4:$F$55)+SUMIF(LAP!$C$4:$C$45,C103,LAP!$F$4:$F$45)+SUMIF(LGDM!$C$4:$C$22,C103,LGDM!$F$4:$F$22)+SUMIF(LAM!$C$4:$C$18,C103,LAM!$F$4:$F$18)+SUMIF(DEP!$C$4:$C$55,C103,DEP!$F$4:$F$55)</f>
        <v>72</v>
      </c>
      <c r="Q103" s="243">
        <f>SUMIF(LCB!$C$4:$C$45,C103,LCB!$E$4:$E$45)+SUMIF(LM!$C$4:$C$140,C103,LM!$E$4:$E$140)+SUMIF(LO!$C$4:$C$230,C103,LO!$E$4:$E$230)+SUMIF(LE!$C$4:$C$200,C103,LE!$E$4:$E$200)+SUMIF(LN!$C$4:$C$48,C103,LN!$E$4:$E$48)+SUMIF(LCE!$C$4:$C$40,C103,LCE!$E$4:$E$40)+SUMIF(LI!$C$4:$C$55,C103,LI!$E$4:$E$55)+SUMIF(LAP!$C$4:$C$45,C103,LAP!$E$4:$E$45)+SUMIF(LGDM!$C$4:$C$15,C103,LGDM!$E$4:$E$15)+SUMIF(LAM!$C$5:$C$18,C103,LAM!$E$5:$E$18)+SUMIF(DEP!$C$4:$C$55,C103,DEP!$E$4:$E$55)</f>
        <v>14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ht="15.75" customHeight="1">
      <c r="A104" s="9"/>
      <c r="B104" s="62">
        <v>26.0</v>
      </c>
      <c r="C104" s="145" t="s">
        <v>357</v>
      </c>
      <c r="D104" s="13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ht="15.75" customHeight="1">
      <c r="A105" s="9"/>
      <c r="B105" s="62">
        <v>27.0</v>
      </c>
      <c r="C105" s="145" t="s">
        <v>359</v>
      </c>
      <c r="D105" s="13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ht="15.75" customHeight="1">
      <c r="A106" s="9"/>
      <c r="B106" s="62">
        <v>28.0</v>
      </c>
      <c r="C106" s="148" t="s">
        <v>361</v>
      </c>
      <c r="D106" s="13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ht="13.5" customHeight="1">
      <c r="A107" s="9"/>
      <c r="B107" s="62">
        <v>29.0</v>
      </c>
      <c r="C107" s="148" t="s">
        <v>363</v>
      </c>
      <c r="D107" s="13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9"/>
      <c r="Q107" s="9"/>
      <c r="R107" s="5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ht="13.5" customHeight="1">
      <c r="A108" s="9"/>
      <c r="B108" s="62">
        <v>30.0</v>
      </c>
      <c r="C108" s="148" t="s">
        <v>364</v>
      </c>
      <c r="D108" s="35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ht="13.5" customHeight="1">
      <c r="A109" s="9"/>
      <c r="B109" s="62">
        <v>31.0</v>
      </c>
      <c r="C109" s="148" t="s">
        <v>366</v>
      </c>
      <c r="D109" s="35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ht="13.5" customHeight="1">
      <c r="A110" s="9"/>
      <c r="B110" s="62">
        <v>32.0</v>
      </c>
      <c r="C110" s="148" t="s">
        <v>367</v>
      </c>
      <c r="D110" s="35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ht="13.5" customHeight="1">
      <c r="A111" s="9"/>
      <c r="B111" s="144">
        <v>33.0</v>
      </c>
      <c r="C111" s="148" t="s">
        <v>368</v>
      </c>
      <c r="D111" s="35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ht="13.5" customHeight="1">
      <c r="A112" s="9"/>
      <c r="B112" s="62"/>
      <c r="D112" s="35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ht="43.5" customHeight="1">
      <c r="A113" s="9"/>
      <c r="B113" s="282" t="s">
        <v>252</v>
      </c>
      <c r="C113" s="356" t="s">
        <v>685</v>
      </c>
      <c r="D113" s="129" t="s">
        <v>334</v>
      </c>
      <c r="E113" s="284" t="s">
        <v>23</v>
      </c>
      <c r="F113" s="284" t="s">
        <v>15</v>
      </c>
      <c r="G113" s="284" t="s">
        <v>46</v>
      </c>
      <c r="H113" s="284" t="s">
        <v>16</v>
      </c>
      <c r="I113" s="284" t="s">
        <v>252</v>
      </c>
      <c r="J113" s="284" t="s">
        <v>41</v>
      </c>
      <c r="K113" s="284" t="s">
        <v>48</v>
      </c>
      <c r="L113" s="284" t="s">
        <v>58</v>
      </c>
      <c r="M113" s="286" t="s">
        <v>439</v>
      </c>
      <c r="N113" s="284" t="s">
        <v>687</v>
      </c>
      <c r="O113" s="284" t="s">
        <v>56</v>
      </c>
      <c r="P113" s="129" t="s">
        <v>210</v>
      </c>
      <c r="Q113" s="129" t="s">
        <v>688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ht="13.5" customHeight="1">
      <c r="A114" s="9"/>
      <c r="B114" s="62">
        <v>1.0</v>
      </c>
      <c r="C114" s="37" t="s">
        <v>422</v>
      </c>
      <c r="D114" s="288">
        <f t="shared" ref="D114:D121" si="5">SUM(E114:O114)</f>
        <v>1</v>
      </c>
      <c r="E114" s="243">
        <f>COUNTIF(LCB!$C$4:$C$40,C114)</f>
        <v>0</v>
      </c>
      <c r="F114" s="243">
        <f>COUNTIF(LM!$C$4:$C$144,C114)</f>
        <v>0</v>
      </c>
      <c r="G114" s="243">
        <f>COUNTIF(LO!$C$4:$C$227,C114)</f>
        <v>0</v>
      </c>
      <c r="H114" s="243">
        <f>COUNTIF(LE!$C$4:$C$214,C114)</f>
        <v>0</v>
      </c>
      <c r="I114" s="289">
        <f>COUNTIF(LN!$C$4:$C$53,C114)</f>
        <v>1</v>
      </c>
      <c r="J114" s="289">
        <f>COUNTIF(LCE!$C$3:$C$43,C114)</f>
        <v>0</v>
      </c>
      <c r="K114" s="289">
        <f>COUNTIF(LI!$C$4:$C$60,C114)</f>
        <v>0</v>
      </c>
      <c r="L114" s="289">
        <f>COUNTIF(LAP!$C$5:$C$45,C114)</f>
        <v>0</v>
      </c>
      <c r="M114" s="289">
        <f>COUNTIF(LGDM!$C$4:$C$22,C114)</f>
        <v>0</v>
      </c>
      <c r="N114" s="289">
        <f>COUNTIF(LAM!$C$5:$C$21,C114)</f>
        <v>0</v>
      </c>
      <c r="O114" s="243">
        <f>COUNTIF(DEP!$C$3:$C$61,C114)</f>
        <v>0</v>
      </c>
      <c r="P114" s="291">
        <f>SUMIF(LCB!$C$4:$C$45,C114,LCB!$F$4:$F$45)+SUMIF(LM!$C$4:$C$140,C114,LM!$F$4:$F$140)+SUMIF(LO!$C$4:$C$230,C114,LO!$F$4:$F$230)+SUMIF(LE!$C$4:$C$200,C114,LE!$F$4:$F$200)+SUMIF(LN!$C$4:$C$48,C114,LN!$F$4:$F$48)+SUMIF(LCE!$C$4:$C$40,C114,LCE!$F$4:$F$40)+SUMIF(LI!$C$4:$C$55,C114,LI!$F$4:$F$55)+SUMIF(LAP!$C$4:$C$45,C114,LAP!$F$4:$F$45)+SUMIF(LGDM!$C$4:$C$22,C114,LGDM!$F$4:$F$22)+SUMIF(LAM!$C$4:$C$18,C114,LAM!$F$4:$F$18)+SUMIF(DEP!$C$4:$C$55,C114,DEP!$F$4:$F$55)</f>
        <v>34</v>
      </c>
      <c r="Q114" s="243">
        <f>SUMIF(LCB!$C$4:$C$45,C114,LCB!$E$4:$E$45)+SUMIF(LM!$C$4:$C$140,C114,LM!$E$4:$E$140)+SUMIF(LO!$C$4:$C$230,C114,LO!$E$4:$E$230)+SUMIF(LE!$C$4:$C$200,C114,LE!$E$4:$E$200)+SUMIF(LN!$C$4:$C$48,C114,LN!$E$4:$E$48)+SUMIF(LCE!$C$4:$C$40,C114,LCE!$E$4:$E$40)+SUMIF(LI!$C$4:$C$55,C114,LI!$E$4:$E$55)+SUMIF(LAP!$C$4:$C$45,C114,LAP!$E$4:$E$45)+SUMIF(LGDM!$C$4:$C$15,C114,LGDM!$E$4:$E$15)+SUMIF(LAM!$C$5:$C$18,C114,LAM!$E$5:$E$18)+SUMIF(DEP!$C$4:$C$55,C114,DEP!$E$4:$E$55)</f>
        <v>6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ht="13.5" customHeight="1">
      <c r="A115" s="9"/>
      <c r="B115" s="62">
        <v>2.0</v>
      </c>
      <c r="C115" s="37" t="s">
        <v>372</v>
      </c>
      <c r="D115" s="288">
        <f t="shared" si="5"/>
        <v>0</v>
      </c>
      <c r="E115" s="243">
        <f>COUNTIF(LCB!$C$4:$C$40,C115)</f>
        <v>0</v>
      </c>
      <c r="F115" s="243">
        <f>COUNTIF(LM!$C$4:$C$144,C115)</f>
        <v>0</v>
      </c>
      <c r="G115" s="243">
        <f>COUNTIF(LO!$C$4:$C$227,C115)</f>
        <v>0</v>
      </c>
      <c r="H115" s="243">
        <f>COUNTIF(LE!$C$4:$C$214,C115)</f>
        <v>0</v>
      </c>
      <c r="I115" s="289">
        <f>COUNTIF(LN!$C$4:$C$53,C115)</f>
        <v>0</v>
      </c>
      <c r="J115" s="289">
        <f>COUNTIF(LCE!$C$3:$C$43,C115)</f>
        <v>0</v>
      </c>
      <c r="K115" s="289">
        <f>COUNTIF(LI!$C$4:$C$60,C115)</f>
        <v>0</v>
      </c>
      <c r="L115" s="289">
        <f>COUNTIF(LAP!$C$5:$C$45,C115)</f>
        <v>0</v>
      </c>
      <c r="M115" s="289">
        <f>COUNTIF(LGDM!$C$4:$C$22,C115)</f>
        <v>0</v>
      </c>
      <c r="N115" s="289">
        <f>COUNTIF(LAM!$C$5:$C$21,C115)</f>
        <v>0</v>
      </c>
      <c r="O115" s="243">
        <f>COUNTIF(DEP!$C$3:$C$61,C115)</f>
        <v>0</v>
      </c>
      <c r="P115" s="291">
        <f>SUMIF(LCB!$C$4:$C$45,C115,LCB!$F$4:$F$45)+SUMIF(LM!$C$4:$C$140,C115,LM!$F$4:$F$140)+SUMIF(LO!$C$4:$C$230,C115,LO!$F$4:$F$230)+SUMIF(LE!$C$4:$C$200,C115,LE!$F$4:$F$200)+SUMIF(LN!$C$4:$C$48,C115,LN!$F$4:$F$48)+SUMIF(LCE!$C$4:$C$40,C115,LCE!$F$4:$F$40)+SUMIF(LI!$C$4:$C$55,C115,LI!$F$4:$F$55)+SUMIF(LAP!$C$4:$C$45,C115,LAP!$F$4:$F$45)+SUMIF(LGDM!$C$4:$C$22,C115,LGDM!$F$4:$F$22)+SUMIF(LAM!$C$4:$C$18,C115,LAM!$F$4:$F$18)+SUMIF(DEP!$C$4:$C$55,C115,DEP!$F$4:$F$55)</f>
        <v>0</v>
      </c>
      <c r="Q115" s="243">
        <f>SUMIF(LCB!$C$4:$C$45,C115,LCB!$E$4:$E$45)+SUMIF(LM!$C$4:$C$140,C115,LM!$E$4:$E$140)+SUMIF(LO!$C$4:$C$230,C115,LO!$E$4:$E$230)+SUMIF(LE!$C$4:$C$200,C115,LE!$E$4:$E$200)+SUMIF(LN!$C$4:$C$48,C115,LN!$E$4:$E$48)+SUMIF(LCE!$C$4:$C$40,C115,LCE!$E$4:$E$40)+SUMIF(LI!$C$4:$C$55,C115,LI!$E$4:$E$55)+SUMIF(LAP!$C$4:$C$45,C115,LAP!$E$4:$E$45)+SUMIF(LGDM!$C$4:$C$15,C115,LGDM!$E$4:$E$15)+SUMIF(LAM!$C$5:$C$18,C115,LAM!$E$5:$E$18)+SUMIF(DEP!$C$4:$C$55,C115,DEP!$E$4:$E$55)</f>
        <v>0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ht="13.5" customHeight="1">
      <c r="A116" s="9"/>
      <c r="B116" s="62">
        <v>3.0</v>
      </c>
      <c r="C116" s="37" t="s">
        <v>278</v>
      </c>
      <c r="D116" s="288">
        <f t="shared" si="5"/>
        <v>5</v>
      </c>
      <c r="E116" s="243">
        <f>COUNTIF(LCB!$C$4:$C$40,C116)</f>
        <v>0</v>
      </c>
      <c r="F116" s="243">
        <f>COUNTIF(LM!$C$4:$C$144,C116)</f>
        <v>0</v>
      </c>
      <c r="G116" s="243">
        <f>COUNTIF(LO!$C$4:$C$227,C116)</f>
        <v>2</v>
      </c>
      <c r="H116" s="243">
        <f>COUNTIF(LE!$C$4:$C$214,C116)</f>
        <v>0</v>
      </c>
      <c r="I116" s="289">
        <f>COUNTIF(LN!$C$4:$C$53,C116)</f>
        <v>3</v>
      </c>
      <c r="J116" s="289">
        <f>COUNTIF(LCE!$C$3:$C$43,C116)</f>
        <v>0</v>
      </c>
      <c r="K116" s="289">
        <f>COUNTIF(LI!$C$4:$C$60,C116)</f>
        <v>0</v>
      </c>
      <c r="L116" s="289">
        <f>COUNTIF(LAP!$C$5:$C$45,C116)</f>
        <v>0</v>
      </c>
      <c r="M116" s="289">
        <f>COUNTIF(LGDM!$C$4:$C$22,C116)</f>
        <v>0</v>
      </c>
      <c r="N116" s="289">
        <f>COUNTIF(LAM!$C$5:$C$21,C116)</f>
        <v>0</v>
      </c>
      <c r="O116" s="243">
        <f>COUNTIF(DEP!$C$3:$C$61,C116)</f>
        <v>0</v>
      </c>
      <c r="P116" s="291">
        <f>SUMIF(LCB!$C$4:$C$45,C116,LCB!$F$4:$F$45)+SUMIF(LM!$C$4:$C$140,C116,LM!$F$4:$F$140)+SUMIF(LO!$C$4:$C$230,C116,LO!$F$4:$F$230)+SUMIF(LE!$C$4:$C$200,C116,LE!$F$4:$F$200)+SUMIF(LN!$C$4:$C$48,C116,LN!$F$4:$F$48)+SUMIF(LCE!$C$4:$C$40,C116,LCE!$F$4:$F$40)+SUMIF(LI!$C$4:$C$55,C116,LI!$F$4:$F$55)+SUMIF(LAP!$C$4:$C$45,C116,LAP!$F$4:$F$45)+SUMIF(LGDM!$C$4:$C$22,C116,LGDM!$F$4:$F$22)+SUMIF(LAM!$C$4:$C$18,C116,LAM!$F$4:$F$18)+SUMIF(DEP!$C$4:$C$55,C116,DEP!$F$4:$F$55)</f>
        <v>148</v>
      </c>
      <c r="Q116" s="243">
        <f>SUMIF(LCB!$C$4:$C$45,C116,LCB!$E$4:$E$45)+SUMIF(LM!$C$4:$C$140,C116,LM!$E$4:$E$140)+SUMIF(LO!$C$4:$C$230,C116,LO!$E$4:$E$230)+SUMIF(LE!$C$4:$C$200,C116,LE!$E$4:$E$200)+SUMIF(LN!$C$4:$C$48,C116,LN!$E$4:$E$48)+SUMIF(LCE!$C$4:$C$40,C116,LCE!$E$4:$E$40)+SUMIF(LI!$C$4:$C$55,C116,LI!$E$4:$E$55)+SUMIF(LAP!$C$4:$C$45,C116,LAP!$E$4:$E$45)+SUMIF(LGDM!$C$4:$C$15,C116,LGDM!$E$4:$E$15)+SUMIF(LAM!$C$5:$C$18,C116,LAM!$E$5:$E$18)+SUMIF(DEP!$C$4:$C$55,C116,DEP!$E$4:$E$55)</f>
        <v>25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ht="13.5" customHeight="1">
      <c r="A117" s="9"/>
      <c r="B117" s="62">
        <v>4.0</v>
      </c>
      <c r="C117" s="104" t="s">
        <v>396</v>
      </c>
      <c r="D117" s="288">
        <f t="shared" si="5"/>
        <v>3</v>
      </c>
      <c r="E117" s="243">
        <f>COUNTIF(LCB!$C$4:$C$40,C117)</f>
        <v>0</v>
      </c>
      <c r="F117" s="243">
        <f>COUNTIF(LM!$C$4:$C$144,C117)</f>
        <v>0</v>
      </c>
      <c r="G117" s="243">
        <f>COUNTIF(LO!$C$4:$C$227,C117)</f>
        <v>0</v>
      </c>
      <c r="H117" s="243">
        <f>COUNTIF(LE!$C$4:$C$214,C117)</f>
        <v>0</v>
      </c>
      <c r="I117" s="289">
        <f>COUNTIF(LN!$C$4:$C$53,C117)</f>
        <v>3</v>
      </c>
      <c r="J117" s="289">
        <f>COUNTIF(LCE!$C$3:$C$43,C117)</f>
        <v>0</v>
      </c>
      <c r="K117" s="289">
        <f>COUNTIF(LI!$C$4:$C$60,C117)</f>
        <v>0</v>
      </c>
      <c r="L117" s="289">
        <f>COUNTIF(LAP!$C$5:$C$45,C117)</f>
        <v>0</v>
      </c>
      <c r="M117" s="289">
        <f>COUNTIF(LGDM!$C$4:$C$22,C117)</f>
        <v>0</v>
      </c>
      <c r="N117" s="289">
        <f>COUNTIF(LAM!$C$5:$C$21,C117)</f>
        <v>0</v>
      </c>
      <c r="O117" s="243">
        <f>COUNTIF(DEP!$C$3:$C$61,C117)</f>
        <v>0</v>
      </c>
      <c r="P117" s="291">
        <f>SUMIF(LCB!$C$4:$C$45,C117,LCB!$F$4:$F$45)+SUMIF(LM!$C$4:$C$140,C117,LM!$F$4:$F$140)+SUMIF(LO!$C$4:$C$230,C117,LO!$F$4:$F$230)+SUMIF(LE!$C$4:$C$200,C117,LE!$F$4:$F$200)+SUMIF(LN!$C$4:$C$48,C117,LN!$F$4:$F$48)+SUMIF(LCE!$C$4:$C$40,C117,LCE!$F$4:$F$40)+SUMIF(LI!$C$4:$C$55,C117,LI!$F$4:$F$55)+SUMIF(LAP!$C$4:$C$45,C117,LAP!$F$4:$F$45)+SUMIF(LGDM!$C$4:$C$22,C117,LGDM!$F$4:$F$22)+SUMIF(LAM!$C$4:$C$18,C117,LAM!$F$4:$F$18)+SUMIF(DEP!$C$4:$C$55,C117,DEP!$F$4:$F$55)</f>
        <v>104</v>
      </c>
      <c r="Q117" s="243">
        <f>SUMIF(LCB!$C$4:$C$45,C117,LCB!$E$4:$E$45)+SUMIF(LM!$C$4:$C$140,C117,LM!$E$4:$E$140)+SUMIF(LO!$C$4:$C$230,C117,LO!$E$4:$E$230)+SUMIF(LE!$C$4:$C$200,C117,LE!$E$4:$E$200)+SUMIF(LN!$C$4:$C$48,C117,LN!$E$4:$E$48)+SUMIF(LCE!$C$4:$C$40,C117,LCE!$E$4:$E$40)+SUMIF(LI!$C$4:$C$55,C117,LI!$E$4:$E$55)+SUMIF(LAP!$C$4:$C$45,C117,LAP!$E$4:$E$45)+SUMIF(LGDM!$C$4:$C$15,C117,LGDM!$E$4:$E$15)+SUMIF(LAM!$C$5:$C$18,C117,LAM!$E$5:$E$18)+SUMIF(DEP!$C$4:$C$55,C117,DEP!$E$4:$E$55)</f>
        <v>16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ht="13.5" customHeight="1">
      <c r="A118" s="9"/>
      <c r="B118" s="62">
        <v>5.0</v>
      </c>
      <c r="C118" s="104" t="s">
        <v>273</v>
      </c>
      <c r="D118" s="288">
        <f t="shared" si="5"/>
        <v>4</v>
      </c>
      <c r="E118" s="243">
        <f>COUNTIF(LCB!$C$4:$C$40,C118)</f>
        <v>0</v>
      </c>
      <c r="F118" s="243">
        <f>COUNTIF(LM!$C$4:$C$144,C118)</f>
        <v>0</v>
      </c>
      <c r="G118" s="243">
        <f>COUNTIF(LO!$C$4:$C$227,C118)</f>
        <v>0</v>
      </c>
      <c r="H118" s="243">
        <f>COUNTIF(LE!$C$4:$C$214,C118)</f>
        <v>2</v>
      </c>
      <c r="I118" s="289">
        <f>COUNTIF(LN!$C$4:$C$53,C118)</f>
        <v>2</v>
      </c>
      <c r="J118" s="289">
        <f>COUNTIF(LCE!$C$3:$C$43,C118)</f>
        <v>0</v>
      </c>
      <c r="K118" s="289">
        <f>COUNTIF(LI!$C$4:$C$60,C118)</f>
        <v>0</v>
      </c>
      <c r="L118" s="289">
        <f>COUNTIF(LAP!$C$5:$C$45,C118)</f>
        <v>0</v>
      </c>
      <c r="M118" s="289">
        <f>COUNTIF(LGDM!$C$4:$C$22,C118)</f>
        <v>0</v>
      </c>
      <c r="N118" s="289">
        <f>COUNTIF(LAM!$C$5:$C$21,C118)</f>
        <v>0</v>
      </c>
      <c r="O118" s="243">
        <f>COUNTIF(DEP!$C$3:$C$61,C118)</f>
        <v>0</v>
      </c>
      <c r="P118" s="291">
        <f>SUMIF(LCB!$C$4:$C$45,C118,LCB!$F$4:$F$45)+SUMIF(LM!$C$4:$C$140,C118,LM!$F$4:$F$140)+SUMIF(LO!$C$4:$C$230,C118,LO!$F$4:$F$230)+SUMIF(LE!$C$4:$C$200,C118,LE!$F$4:$F$200)+SUMIF(LN!$C$4:$C$48,C118,LN!$F$4:$F$48)+SUMIF(LCE!$C$4:$C$40,C118,LCE!$F$4:$F$40)+SUMIF(LI!$C$4:$C$55,C118,LI!$F$4:$F$55)+SUMIF(LAP!$C$4:$C$45,C118,LAP!$F$4:$F$45)+SUMIF(LGDM!$C$4:$C$22,C118,LGDM!$F$4:$F$22)+SUMIF(LAM!$C$4:$C$18,C118,LAM!$F$4:$F$18)+SUMIF(DEP!$C$4:$C$55,C118,DEP!$F$4:$F$55)</f>
        <v>145</v>
      </c>
      <c r="Q118" s="243">
        <f>SUMIF(LCB!$C$4:$C$45,C118,LCB!$E$4:$E$45)+SUMIF(LM!$C$4:$C$140,C118,LM!$E$4:$E$140)+SUMIF(LO!$C$4:$C$230,C118,LO!$E$4:$E$230)+SUMIF(LE!$C$4:$C$200,C118,LE!$E$4:$E$200)+SUMIF(LN!$C$4:$C$48,C118,LN!$E$4:$E$48)+SUMIF(LCE!$C$4:$C$40,C118,LCE!$E$4:$E$40)+SUMIF(LI!$C$4:$C$55,C118,LI!$E$4:$E$55)+SUMIF(LAP!$C$4:$C$45,C118,LAP!$E$4:$E$45)+SUMIF(LGDM!$C$4:$C$15,C118,LGDM!$E$4:$E$15)+SUMIF(LAM!$C$5:$C$18,C118,LAM!$E$5:$E$18)+SUMIF(DEP!$C$4:$C$55,C118,DEP!$E$4:$E$55)</f>
        <v>20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ht="13.5" customHeight="1">
      <c r="A119" s="9"/>
      <c r="B119" s="62">
        <v>6.0</v>
      </c>
      <c r="C119" s="174" t="s">
        <v>392</v>
      </c>
      <c r="D119" s="288">
        <f t="shared" si="5"/>
        <v>3</v>
      </c>
      <c r="E119" s="243">
        <f>COUNTIF(LCB!$C$4:$C$40,C119)</f>
        <v>0</v>
      </c>
      <c r="F119" s="243">
        <f>COUNTIF(LM!$C$4:$C$144,C119)</f>
        <v>0</v>
      </c>
      <c r="G119" s="243">
        <f>COUNTIF(LO!$C$4:$C$227,C119)</f>
        <v>0</v>
      </c>
      <c r="H119" s="243">
        <f>COUNTIF(LE!$C$4:$C$214,C119)</f>
        <v>0</v>
      </c>
      <c r="I119" s="289">
        <f>COUNTIF(LN!$C$4:$C$53,C119)</f>
        <v>2</v>
      </c>
      <c r="J119" s="289">
        <f>COUNTIF(LCE!$C$3:$C$43,C119)</f>
        <v>0</v>
      </c>
      <c r="K119" s="289">
        <f>COUNTIF(LI!$C$4:$C$60,C119)</f>
        <v>0</v>
      </c>
      <c r="L119" s="289">
        <f>COUNTIF(LAP!$C$5:$C$45,C119)</f>
        <v>0</v>
      </c>
      <c r="M119" s="289">
        <f>COUNTIF(LGDM!$C$4:$C$22,C119)</f>
        <v>0</v>
      </c>
      <c r="N119" s="289">
        <f>COUNTIF(LAM!$C$5:$C$21,C119)</f>
        <v>0</v>
      </c>
      <c r="O119" s="243">
        <f>COUNTIF(DEP!$C$3:$C$61,C119)</f>
        <v>1</v>
      </c>
      <c r="P119" s="291">
        <f>SUMIF(LCB!$C$4:$C$45,C119,LCB!$F$4:$F$45)+SUMIF(LM!$C$4:$C$140,C119,LM!$F$4:$F$140)+SUMIF(LO!$C$4:$C$230,C119,LO!$F$4:$F$230)+SUMIF(LE!$C$4:$C$200,C119,LE!$F$4:$F$200)+SUMIF(LN!$C$4:$C$48,C119,LN!$F$4:$F$48)+SUMIF(LCE!$C$4:$C$40,C119,LCE!$F$4:$F$40)+SUMIF(LI!$C$4:$C$55,C119,LI!$F$4:$F$55)+SUMIF(LAP!$C$4:$C$45,C119,LAP!$F$4:$F$45)+SUMIF(LGDM!$C$4:$C$22,C119,LGDM!$F$4:$F$22)+SUMIF(LAM!$C$4:$C$18,C119,LAM!$F$4:$F$18)+SUMIF(DEP!$C$4:$C$55,C119,DEP!$F$4:$F$55)</f>
        <v>77</v>
      </c>
      <c r="Q119" s="243">
        <f>SUMIF(LCB!$C$4:$C$45,C119,LCB!$E$4:$E$45)+SUMIF(LM!$C$4:$C$140,C119,LM!$E$4:$E$140)+SUMIF(LO!$C$4:$C$230,C119,LO!$E$4:$E$230)+SUMIF(LE!$C$4:$C$200,C119,LE!$E$4:$E$200)+SUMIF(LN!$C$4:$C$48,C119,LN!$E$4:$E$48)+SUMIF(LCE!$C$4:$C$40,C119,LCE!$E$4:$E$40)+SUMIF(LI!$C$4:$C$55,C119,LI!$E$4:$E$55)+SUMIF(LAP!$C$4:$C$45,C119,LAP!$E$4:$E$45)+SUMIF(LGDM!$C$4:$C$15,C119,LGDM!$E$4:$E$15)+SUMIF(LAM!$C$5:$C$18,C119,LAM!$E$5:$E$18)+SUMIF(DEP!$C$4:$C$55,C119,DEP!$E$4:$E$55)</f>
        <v>15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ht="13.5" customHeight="1">
      <c r="A120" s="9"/>
      <c r="B120" s="62">
        <v>7.0</v>
      </c>
      <c r="C120" s="96" t="s">
        <v>251</v>
      </c>
      <c r="D120" s="288">
        <f t="shared" si="5"/>
        <v>5</v>
      </c>
      <c r="E120" s="243">
        <f>COUNTIF(LCB!$C$4:$C$40,C120)</f>
        <v>0</v>
      </c>
      <c r="F120" s="243">
        <f>COUNTIF(LM!$C$4:$C$144,C120)</f>
        <v>0</v>
      </c>
      <c r="G120" s="243">
        <f>COUNTIF(LO!$C$4:$C$227,C120)</f>
        <v>0</v>
      </c>
      <c r="H120" s="243">
        <f>COUNTIF(LE!$C$4:$C$214,C120)</f>
        <v>2</v>
      </c>
      <c r="I120" s="289">
        <f>COUNTIF(LN!$C$4:$C$53,C120)</f>
        <v>3</v>
      </c>
      <c r="J120" s="289">
        <f>COUNTIF(LCE!$C$3:$C$43,C120)</f>
        <v>0</v>
      </c>
      <c r="K120" s="289">
        <f>COUNTIF(LI!$C$4:$C$60,C120)</f>
        <v>0</v>
      </c>
      <c r="L120" s="289">
        <f>COUNTIF(LAP!$C$5:$C$45,C120)</f>
        <v>0</v>
      </c>
      <c r="M120" s="289">
        <f>COUNTIF(LGDM!$C$4:$C$22,C120)</f>
        <v>0</v>
      </c>
      <c r="N120" s="289">
        <f>COUNTIF(LAM!$C$5:$C$21,C120)</f>
        <v>0</v>
      </c>
      <c r="O120" s="243">
        <f>COUNTIF(DEP!$C$3:$C$61,C120)</f>
        <v>0</v>
      </c>
      <c r="P120" s="291">
        <f>SUMIF(LCB!$C$4:$C$45,C120,LCB!$F$4:$F$45)+SUMIF(LM!$C$4:$C$140,C120,LM!$F$4:$F$140)+SUMIF(LO!$C$4:$C$230,C120,LO!$F$4:$F$230)+SUMIF(LE!$C$4:$C$200,C120,LE!$F$4:$F$200)+SUMIF(LN!$C$4:$C$48,C120,LN!$F$4:$F$48)+SUMIF(LCE!$C$4:$C$40,C120,LCE!$F$4:$F$40)+SUMIF(LI!$C$4:$C$55,C120,LI!$F$4:$F$55)+SUMIF(LAP!$C$4:$C$45,C120,LAP!$F$4:$F$45)+SUMIF(LGDM!$C$4:$C$22,C120,LGDM!$F$4:$F$22)+SUMIF(LAM!$C$4:$C$18,C120,LAM!$F$4:$F$18)+SUMIF(DEP!$C$4:$C$55,C120,DEP!$F$4:$F$55)</f>
        <v>154</v>
      </c>
      <c r="Q120" s="243">
        <f>SUMIF(LCB!$C$4:$C$45,C120,LCB!$E$4:$E$45)+SUMIF(LM!$C$4:$C$140,C120,LM!$E$4:$E$140)+SUMIF(LO!$C$4:$C$230,C120,LO!$E$4:$E$230)+SUMIF(LE!$C$4:$C$200,C120,LE!$E$4:$E$200)+SUMIF(LN!$C$4:$C$48,C120,LN!$E$4:$E$48)+SUMIF(LCE!$C$4:$C$40,C120,LCE!$E$4:$E$40)+SUMIF(LI!$C$4:$C$55,C120,LI!$E$4:$E$55)+SUMIF(LAP!$C$4:$C$45,C120,LAP!$E$4:$E$45)+SUMIF(LGDM!$C$4:$C$15,C120,LGDM!$E$4:$E$15)+SUMIF(LAM!$C$5:$C$18,C120,LAM!$E$5:$E$18)+SUMIF(DEP!$C$4:$C$55,C120,DEP!$E$4:$E$55)</f>
        <v>29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ht="13.5" customHeight="1">
      <c r="A121" s="9"/>
      <c r="B121" s="62">
        <v>8.0</v>
      </c>
      <c r="C121" s="109" t="s">
        <v>298</v>
      </c>
      <c r="D121" s="288">
        <f t="shared" si="5"/>
        <v>4</v>
      </c>
      <c r="E121" s="243">
        <f>COUNTIF(LCB!$C$4:$C$40,C121)</f>
        <v>0</v>
      </c>
      <c r="F121" s="243">
        <f>COUNTIF(LM!$C$4:$C$144,C121)</f>
        <v>0</v>
      </c>
      <c r="G121" s="243">
        <f>COUNTIF(LO!$C$4:$C$227,C121)</f>
        <v>2</v>
      </c>
      <c r="H121" s="243">
        <f>COUNTIF(LE!$C$4:$C$214,C121)</f>
        <v>0</v>
      </c>
      <c r="I121" s="289">
        <f>COUNTIF(LN!$C$4:$C$53,C121)</f>
        <v>2</v>
      </c>
      <c r="J121" s="289">
        <f>COUNTIF(LCE!$C$3:$C$43,C121)</f>
        <v>0</v>
      </c>
      <c r="K121" s="289">
        <f>COUNTIF(LI!$C$4:$C$60,C121)</f>
        <v>0</v>
      </c>
      <c r="L121" s="289">
        <f>COUNTIF(LAP!$C$5:$C$45,C121)</f>
        <v>0</v>
      </c>
      <c r="M121" s="289">
        <f>COUNTIF(LGDM!$C$4:$C$22,C121)</f>
        <v>0</v>
      </c>
      <c r="N121" s="289">
        <f>COUNTIF(LAM!$C$5:$C$21,C121)</f>
        <v>0</v>
      </c>
      <c r="O121" s="243">
        <f>COUNTIF(DEP!$C$3:$C$61,C121)</f>
        <v>0</v>
      </c>
      <c r="P121" s="291">
        <f>SUMIF(LCB!$C$4:$C$45,C121,LCB!$F$4:$F$45)+SUMIF(LM!$C$4:$C$140,C121,LM!$F$4:$F$140)+SUMIF(LO!$C$4:$C$230,C121,LO!$F$4:$F$230)+SUMIF(LE!$C$4:$C$200,C121,LE!$F$4:$F$200)+SUMIF(LN!$C$4:$C$48,C121,LN!$F$4:$F$48)+SUMIF(LCE!$C$4:$C$40,C121,LCE!$F$4:$F$40)+SUMIF(LI!$C$4:$C$55,C121,LI!$F$4:$F$55)+SUMIF(LAP!$C$4:$C$45,C121,LAP!$F$4:$F$45)+SUMIF(LGDM!$C$4:$C$22,C121,LGDM!$F$4:$F$22)+SUMIF(LAM!$C$4:$C$18,C121,LAM!$F$4:$F$18)+SUMIF(DEP!$C$4:$C$55,C121,DEP!$F$4:$F$55)</f>
        <v>143</v>
      </c>
      <c r="Q121" s="243">
        <f>SUMIF(LCB!$C$4:$C$45,C121,LCB!$E$4:$E$45)+SUMIF(LM!$C$4:$C$140,C121,LM!$E$4:$E$140)+SUMIF(LO!$C$4:$C$230,C121,LO!$E$4:$E$230)+SUMIF(LE!$C$4:$C$200,C121,LE!$E$4:$E$200)+SUMIF(LN!$C$4:$C$48,C121,LN!$E$4:$E$48)+SUMIF(LCE!$C$4:$C$40,C121,LCE!$E$4:$E$40)+SUMIF(LI!$C$4:$C$55,C121,LI!$E$4:$E$55)+SUMIF(LAP!$C$4:$C$45,C121,LAP!$E$4:$E$45)+SUMIF(LGDM!$C$4:$C$15,C121,LGDM!$E$4:$E$15)+SUMIF(LAM!$C$5:$C$18,C121,LAM!$E$5:$E$18)+SUMIF(DEP!$C$4:$C$55,C121,DEP!$E$4:$E$55)</f>
        <v>21</v>
      </c>
      <c r="R121" s="185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ht="13.5" customHeight="1">
      <c r="A122" s="9"/>
      <c r="B122" s="62">
        <v>9.0</v>
      </c>
      <c r="C122" s="196" t="s">
        <v>453</v>
      </c>
      <c r="D122" s="13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9"/>
      <c r="Q122" s="9"/>
      <c r="R122" s="7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ht="13.5" customHeight="1">
      <c r="A123" s="9"/>
      <c r="B123" s="62">
        <v>10.0</v>
      </c>
      <c r="C123" s="198" t="s">
        <v>456</v>
      </c>
      <c r="D123" s="13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ht="13.5" customHeight="1">
      <c r="A124" s="9"/>
      <c r="B124" s="62">
        <v>11.0</v>
      </c>
      <c r="C124" s="198" t="s">
        <v>457</v>
      </c>
      <c r="D124" s="13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ht="13.5" customHeight="1">
      <c r="A125" s="9"/>
      <c r="B125" s="107"/>
      <c r="C125" s="357"/>
      <c r="D125" s="35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ht="13.5" customHeight="1">
      <c r="A126" s="9"/>
      <c r="B126" s="107"/>
      <c r="C126" s="357"/>
      <c r="D126" s="35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ht="13.5" customHeight="1">
      <c r="A127" s="9"/>
      <c r="B127" s="9"/>
      <c r="C127" s="6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ht="15.75" customHeight="1">
      <c r="A128" s="9"/>
      <c r="B128" s="282" t="s">
        <v>41</v>
      </c>
      <c r="C128" s="356" t="s">
        <v>685</v>
      </c>
      <c r="D128" s="129" t="s">
        <v>334</v>
      </c>
      <c r="E128" s="284" t="s">
        <v>23</v>
      </c>
      <c r="F128" s="284" t="s">
        <v>15</v>
      </c>
      <c r="G128" s="284" t="s">
        <v>46</v>
      </c>
      <c r="H128" s="284" t="s">
        <v>16</v>
      </c>
      <c r="I128" s="284" t="s">
        <v>252</v>
      </c>
      <c r="J128" s="284" t="s">
        <v>41</v>
      </c>
      <c r="K128" s="284" t="s">
        <v>48</v>
      </c>
      <c r="L128" s="284" t="s">
        <v>58</v>
      </c>
      <c r="M128" s="284"/>
      <c r="N128" s="284" t="s">
        <v>687</v>
      </c>
      <c r="O128" s="284" t="s">
        <v>56</v>
      </c>
      <c r="P128" s="129" t="s">
        <v>210</v>
      </c>
      <c r="Q128" s="129" t="s">
        <v>688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ht="13.5" customHeight="1">
      <c r="A129" s="9"/>
      <c r="B129" s="9">
        <v>1.0</v>
      </c>
      <c r="C129" s="38" t="s">
        <v>159</v>
      </c>
      <c r="D129" s="288">
        <f t="shared" ref="D129:D140" si="6">SUM(E129:O129)</f>
        <v>1</v>
      </c>
      <c r="E129" s="243">
        <f>COUNTIF(LCB!$C$4:$C$40,C129)</f>
        <v>0</v>
      </c>
      <c r="F129" s="243">
        <f>COUNTIF(LM!$C$4:$C$144,C129)</f>
        <v>0</v>
      </c>
      <c r="G129" s="243">
        <f>COUNTIF(LO!$C$4:$C$227,C129)</f>
        <v>1</v>
      </c>
      <c r="H129" s="243">
        <f>COUNTIF(LE!$C$4:$C$214,C129)</f>
        <v>0</v>
      </c>
      <c r="I129" s="289">
        <f>COUNTIF(LN!$C$4:$C$53,C129)</f>
        <v>0</v>
      </c>
      <c r="J129" s="289">
        <f>COUNTIF(LCE!$C$3:$C$43,C129)</f>
        <v>0</v>
      </c>
      <c r="K129" s="289">
        <f>COUNTIF(LI!$C$4:$C$60,C129)</f>
        <v>0</v>
      </c>
      <c r="L129" s="289">
        <f>COUNTIF(LAP!$C$5:$C$45,C129)</f>
        <v>0</v>
      </c>
      <c r="M129" s="289">
        <f>COUNTIF(LGDM!$C$4:$C$22,C129)</f>
        <v>0</v>
      </c>
      <c r="N129" s="289">
        <f>COUNTIF(LAM!$C$5:$C$21,C129)</f>
        <v>0</v>
      </c>
      <c r="O129" s="243">
        <f>COUNTIF(DEP!$C$3:$C$61,C129)</f>
        <v>0</v>
      </c>
      <c r="P129" s="291">
        <f>SUMIF(LCB!$C$4:$C$45,C129,LCB!$F$4:$F$45)+SUMIF(LM!$C$4:$C$140,C129,LM!$F$4:$F$140)+SUMIF(LO!$C$4:$C$230,C129,LO!$F$4:$F$230)+SUMIF(LE!$C$4:$C$200,C129,LE!$F$4:$F$200)+SUMIF(LN!$C$4:$C$48,C129,LN!$F$4:$F$48)+SUMIF(LCE!$C$4:$C$40,C129,LCE!$F$4:$F$40)+SUMIF(LI!$C$4:$C$55,C129,LI!$F$4:$F$55)+SUMIF(LAP!$C$4:$C$45,C129,LAP!$F$4:$F$45)+SUMIF(LGDM!$C$4:$C$22,C129,LGDM!$F$4:$F$22)+SUMIF(LAM!$C$4:$C$18,C129,LAM!$F$4:$F$18)+SUMIF(DEP!$C$4:$C$55,C129,DEP!$F$4:$F$55)</f>
        <v>0</v>
      </c>
      <c r="Q129" s="243">
        <f>SUMIF(LCB!$C$4:$C$45,C129,LCB!$E$4:$E$45)+SUMIF(LM!$C$4:$C$140,C129,LM!$E$4:$E$140)+SUMIF(LO!$C$4:$C$230,C129,LO!$E$4:$E$230)+SUMIF(LE!$C$4:$C$200,C129,LE!$E$4:$E$200)+SUMIF(LN!$C$4:$C$48,C129,LN!$E$4:$E$48)+SUMIF(LCE!$C$4:$C$40,C129,LCE!$E$4:$E$40)+SUMIF(LI!$C$4:$C$55,C129,LI!$E$4:$E$55)+SUMIF(LAP!$C$4:$C$45,C129,LAP!$E$4:$E$45)+SUMIF(LGDM!$C$4:$C$15,C129,LGDM!$E$4:$E$15)+SUMIF(LAM!$C$5:$C$18,C129,LAM!$E$5:$E$18)+SUMIF(DEP!$C$4:$C$55,C129,DEP!$E$4:$E$55)</f>
        <v>5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ht="13.5" customHeight="1">
      <c r="A130" s="9"/>
      <c r="B130" s="107">
        <v>2.0</v>
      </c>
      <c r="C130" s="38" t="s">
        <v>427</v>
      </c>
      <c r="D130" s="288">
        <f t="shared" si="6"/>
        <v>3</v>
      </c>
      <c r="E130" s="243">
        <f>COUNTIF(LCB!$C$4:$C$40,C130)</f>
        <v>0</v>
      </c>
      <c r="F130" s="243">
        <f>COUNTIF(LM!$C$4:$C$144,C130)</f>
        <v>0</v>
      </c>
      <c r="G130" s="243">
        <f>COUNTIF(LO!$C$4:$C$227,C130)</f>
        <v>0</v>
      </c>
      <c r="H130" s="243">
        <f>COUNTIF(LE!$C$4:$C$214,C130)</f>
        <v>0</v>
      </c>
      <c r="I130" s="289">
        <f>COUNTIF(LN!$C$4:$C$53,C130)</f>
        <v>0</v>
      </c>
      <c r="J130" s="289">
        <f>COUNTIF(LCE!$C$3:$C$43,C130)</f>
        <v>3</v>
      </c>
      <c r="K130" s="289">
        <f>COUNTIF(LI!$C$4:$C$60,C130)</f>
        <v>0</v>
      </c>
      <c r="L130" s="289">
        <f>COUNTIF(LAP!$C$5:$C$45,C130)</f>
        <v>0</v>
      </c>
      <c r="M130" s="289">
        <f>COUNTIF(LGDM!$C$4:$C$22,C130)</f>
        <v>0</v>
      </c>
      <c r="N130" s="289">
        <f>COUNTIF(LAM!$C$5:$C$21,C130)</f>
        <v>0</v>
      </c>
      <c r="O130" s="243">
        <f>COUNTIF(DEP!$C$3:$C$61,C130)</f>
        <v>0</v>
      </c>
      <c r="P130" s="291">
        <f>SUMIF(LCB!$C$4:$C$45,C130,LCB!$F$4:$F$45)+SUMIF(LM!$C$4:$C$140,C130,LM!$F$4:$F$140)+SUMIF(LO!$C$4:$C$230,C130,LO!$F$4:$F$230)+SUMIF(LE!$C$4:$C$200,C130,LE!$F$4:$F$200)+SUMIF(LN!$C$4:$C$48,C130,LN!$F$4:$F$48)+SUMIF(LCE!$C$4:$C$40,C130,LCE!$F$4:$F$40)+SUMIF(LI!$C$4:$C$55,C130,LI!$F$4:$F$55)+SUMIF(LAP!$C$4:$C$45,C130,LAP!$F$4:$F$45)+SUMIF(LGDM!$C$4:$C$22,C130,LGDM!$F$4:$F$22)+SUMIF(LAM!$C$4:$C$18,C130,LAM!$F$4:$F$18)+SUMIF(DEP!$C$4:$C$55,C130,DEP!$F$4:$F$55)</f>
        <v>55</v>
      </c>
      <c r="Q130" s="243">
        <f>SUMIF(LCB!$C$4:$C$45,C130,LCB!$E$4:$E$45)+SUMIF(LM!$C$4:$C$140,C130,LM!$E$4:$E$140)+SUMIF(LO!$C$4:$C$230,C130,LO!$E$4:$E$230)+SUMIF(LE!$C$4:$C$200,C130,LE!$E$4:$E$200)+SUMIF(LN!$C$4:$C$48,C130,LN!$E$4:$E$48)+SUMIF(LCE!$C$4:$C$40,C130,LCE!$E$4:$E$40)+SUMIF(LI!$C$4:$C$55,C130,LI!$E$4:$E$55)+SUMIF(LAP!$C$4:$C$45,C130,LAP!$E$4:$E$45)+SUMIF(LGDM!$C$4:$C$15,C130,LGDM!$E$4:$E$15)+SUMIF(LAM!$C$5:$C$18,C130,LAM!$E$5:$E$18)+SUMIF(DEP!$C$4:$C$55,C130,DEP!$E$4:$E$55)</f>
        <v>15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ht="15.75" customHeight="1">
      <c r="A131" s="9"/>
      <c r="B131" s="107">
        <v>3.0</v>
      </c>
      <c r="C131" s="38" t="s">
        <v>443</v>
      </c>
      <c r="D131" s="288">
        <f t="shared" si="6"/>
        <v>3</v>
      </c>
      <c r="E131" s="243">
        <f>COUNTIF(LCB!$C$4:$C$40,C131)</f>
        <v>0</v>
      </c>
      <c r="F131" s="243">
        <f>COUNTIF(LM!$C$4:$C$144,C131)</f>
        <v>0</v>
      </c>
      <c r="G131" s="243">
        <f>COUNTIF(LO!$C$4:$C$227,C131)</f>
        <v>0</v>
      </c>
      <c r="H131" s="243">
        <f>COUNTIF(LE!$C$4:$C$214,C131)</f>
        <v>0</v>
      </c>
      <c r="I131" s="289">
        <f>COUNTIF(LN!$C$4:$C$53,C131)</f>
        <v>0</v>
      </c>
      <c r="J131" s="289">
        <f>COUNTIF(LCE!$C$3:$C$43,C131)</f>
        <v>2</v>
      </c>
      <c r="K131" s="289">
        <f>COUNTIF(LI!$C$4:$C$60,C131)</f>
        <v>1</v>
      </c>
      <c r="L131" s="289">
        <f>COUNTIF(LAP!$C$5:$C$45,C131)</f>
        <v>0</v>
      </c>
      <c r="M131" s="289">
        <f>COUNTIF(LGDM!$C$4:$C$22,C131)</f>
        <v>0</v>
      </c>
      <c r="N131" s="289">
        <f>COUNTIF(LAM!$C$5:$C$21,C131)</f>
        <v>0</v>
      </c>
      <c r="O131" s="243">
        <f>COUNTIF(DEP!$C$3:$C$61,C131)</f>
        <v>0</v>
      </c>
      <c r="P131" s="291">
        <f>SUMIF(LCB!$C$4:$C$45,C131,LCB!$F$4:$F$45)+SUMIF(LM!$C$4:$C$140,C131,LM!$F$4:$F$140)+SUMIF(LO!$C$4:$C$230,C131,LO!$F$4:$F$230)+SUMIF(LE!$C$4:$C$200,C131,LE!$F$4:$F$200)+SUMIF(LN!$C$4:$C$48,C131,LN!$F$4:$F$48)+SUMIF(LCE!$C$4:$C$40,C131,LCE!$F$4:$F$40)+SUMIF(LI!$C$4:$C$55,C131,LI!$F$4:$F$55)+SUMIF(LAP!$C$4:$C$45,C131,LAP!$F$4:$F$45)+SUMIF(LGDM!$C$4:$C$22,C131,LGDM!$F$4:$F$22)+SUMIF(LAM!$C$4:$C$18,C131,LAM!$F$4:$F$18)+SUMIF(DEP!$C$4:$C$55,C131,DEP!$F$4:$F$55)</f>
        <v>67</v>
      </c>
      <c r="Q131" s="243">
        <f>SUMIF(LCB!$C$4:$C$45,C131,LCB!$E$4:$E$45)+SUMIF(LM!$C$4:$C$140,C131,LM!$E$4:$E$140)+SUMIF(LO!$C$4:$C$230,C131,LO!$E$4:$E$230)+SUMIF(LE!$C$4:$C$200,C131,LE!$E$4:$E$200)+SUMIF(LN!$C$4:$C$48,C131,LN!$E$4:$E$48)+SUMIF(LCE!$C$4:$C$40,C131,LCE!$E$4:$E$40)+SUMIF(LI!$C$4:$C$55,C131,LI!$E$4:$E$55)+SUMIF(LAP!$C$4:$C$45,C131,LAP!$E$4:$E$45)+SUMIF(LGDM!$C$4:$C$15,C131,LGDM!$E$4:$E$15)+SUMIF(LAM!$C$5:$C$18,C131,LAM!$E$5:$E$18)+SUMIF(DEP!$C$4:$C$55,C131,DEP!$E$4:$E$55)</f>
        <v>15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ht="13.5" customHeight="1">
      <c r="A132" s="9"/>
      <c r="B132" s="9">
        <v>4.0</v>
      </c>
      <c r="C132" s="38" t="s">
        <v>375</v>
      </c>
      <c r="D132" s="288">
        <f t="shared" si="6"/>
        <v>3</v>
      </c>
      <c r="E132" s="243">
        <f>COUNTIF(LCB!$C$4:$C$40,C132)</f>
        <v>0</v>
      </c>
      <c r="F132" s="243">
        <f>COUNTIF(LM!$C$4:$C$144,C132)</f>
        <v>0</v>
      </c>
      <c r="G132" s="243">
        <f>COUNTIF(LO!$C$4:$C$227,C132)</f>
        <v>0</v>
      </c>
      <c r="H132" s="243">
        <f>COUNTIF(LE!$C$4:$C$214,C132)</f>
        <v>0</v>
      </c>
      <c r="I132" s="289">
        <f>COUNTIF(LN!$C$4:$C$53,C132)</f>
        <v>0</v>
      </c>
      <c r="J132" s="289">
        <f>COUNTIF(LCE!$C$3:$C$43,C132)</f>
        <v>3</v>
      </c>
      <c r="K132" s="289">
        <f>COUNTIF(LI!$C$4:$C$60,C132)</f>
        <v>0</v>
      </c>
      <c r="L132" s="289">
        <f>COUNTIF(LAP!$C$5:$C$45,C132)</f>
        <v>0</v>
      </c>
      <c r="M132" s="289">
        <f>COUNTIF(LGDM!$C$4:$C$22,C132)</f>
        <v>0</v>
      </c>
      <c r="N132" s="289">
        <f>COUNTIF(LAM!$C$5:$C$21,C132)</f>
        <v>0</v>
      </c>
      <c r="O132" s="243">
        <f>COUNTIF(DEP!$C$3:$C$61,C132)</f>
        <v>0</v>
      </c>
      <c r="P132" s="291">
        <f>SUMIF(LCB!$C$4:$C$45,C132,LCB!$F$4:$F$45)+SUMIF(LM!$C$4:$C$140,C132,LM!$F$4:$F$140)+SUMIF(LO!$C$4:$C$230,C132,LO!$F$4:$F$230)+SUMIF(LE!$C$4:$C$200,C132,LE!$F$4:$F$200)+SUMIF(LN!$C$4:$C$48,C132,LN!$F$4:$F$48)+SUMIF(LCE!$C$4:$C$40,C132,LCE!$F$4:$F$40)+SUMIF(LI!$C$4:$C$55,C132,LI!$F$4:$F$55)+SUMIF(LAP!$C$4:$C$45,C132,LAP!$F$4:$F$45)+SUMIF(LGDM!$C$4:$C$22,C132,LGDM!$F$4:$F$22)+SUMIF(LAM!$C$4:$C$18,C132,LAM!$F$4:$F$18)+SUMIF(DEP!$C$4:$C$55,C132,DEP!$F$4:$F$55)</f>
        <v>62</v>
      </c>
      <c r="Q132" s="243">
        <f>SUMIF(LCB!$C$4:$C$45,C132,LCB!$E$4:$E$45)+SUMIF(LM!$C$4:$C$140,C132,LM!$E$4:$E$140)+SUMIF(LO!$C$4:$C$230,C132,LO!$E$4:$E$230)+SUMIF(LE!$C$4:$C$200,C132,LE!$E$4:$E$200)+SUMIF(LN!$C$4:$C$48,C132,LN!$E$4:$E$48)+SUMIF(LCE!$C$4:$C$40,C132,LCE!$E$4:$E$40)+SUMIF(LI!$C$4:$C$55,C132,LI!$E$4:$E$55)+SUMIF(LAP!$C$4:$C$45,C132,LAP!$E$4:$E$45)+SUMIF(LGDM!$C$4:$C$15,C132,LGDM!$E$4:$E$15)+SUMIF(LAM!$C$5:$C$18,C132,LAM!$E$5:$E$18)+SUMIF(DEP!$C$4:$C$55,C132,DEP!$E$4:$E$55)</f>
        <v>15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ht="13.5" customHeight="1">
      <c r="A133" s="9"/>
      <c r="B133" s="107">
        <v>5.0</v>
      </c>
      <c r="C133" s="38" t="s">
        <v>407</v>
      </c>
      <c r="D133" s="288">
        <f t="shared" si="6"/>
        <v>3</v>
      </c>
      <c r="E133" s="243">
        <f>COUNTIF(LCB!$C$4:$C$40,C133)</f>
        <v>0</v>
      </c>
      <c r="F133" s="243">
        <f>COUNTIF(LM!$C$4:$C$144,C133)</f>
        <v>0</v>
      </c>
      <c r="G133" s="243">
        <f>COUNTIF(LO!$C$4:$C$227,C133)</f>
        <v>0</v>
      </c>
      <c r="H133" s="243">
        <f>COUNTIF(LE!$C$4:$C$214,C133)</f>
        <v>0</v>
      </c>
      <c r="I133" s="289">
        <f>COUNTIF(LN!$C$4:$C$53,C133)</f>
        <v>0</v>
      </c>
      <c r="J133" s="289">
        <f>COUNTIF(LCE!$C$3:$C$43,C133)</f>
        <v>2</v>
      </c>
      <c r="K133" s="289">
        <f>COUNTIF(LI!$C$4:$C$60,C133)</f>
        <v>1</v>
      </c>
      <c r="L133" s="289">
        <f>COUNTIF(LAP!$C$5:$C$45,C133)</f>
        <v>0</v>
      </c>
      <c r="M133" s="289">
        <f>COUNTIF(LGDM!$C$4:$C$22,C133)</f>
        <v>0</v>
      </c>
      <c r="N133" s="289">
        <f>COUNTIF(LAM!$C$5:$C$21,C133)</f>
        <v>0</v>
      </c>
      <c r="O133" s="243">
        <f>COUNTIF(DEP!$C$3:$C$61,C133)</f>
        <v>0</v>
      </c>
      <c r="P133" s="291">
        <f>SUMIF(LCB!$C$4:$C$45,C133,LCB!$F$4:$F$45)+SUMIF(LM!$C$4:$C$140,C133,LM!$F$4:$F$140)+SUMIF(LO!$C$4:$C$230,C133,LO!$F$4:$F$230)+SUMIF(LE!$C$4:$C$200,C133,LE!$F$4:$F$200)+SUMIF(LN!$C$4:$C$48,C133,LN!$F$4:$F$48)+SUMIF(LCE!$C$4:$C$40,C133,LCE!$F$4:$F$40)+SUMIF(LI!$C$4:$C$55,C133,LI!$F$4:$F$55)+SUMIF(LAP!$C$4:$C$45,C133,LAP!$F$4:$F$45)+SUMIF(LGDM!$C$4:$C$22,C133,LGDM!$F$4:$F$22)+SUMIF(LAM!$C$4:$C$18,C133,LAM!$F$4:$F$18)+SUMIF(DEP!$C$4:$C$55,C133,DEP!$F$4:$F$55)</f>
        <v>68</v>
      </c>
      <c r="Q133" s="243">
        <f>SUMIF(LCB!$C$4:$C$45,C133,LCB!$E$4:$E$45)+SUMIF(LM!$C$4:$C$140,C133,LM!$E$4:$E$140)+SUMIF(LO!$C$4:$C$230,C133,LO!$E$4:$E$230)+SUMIF(LE!$C$4:$C$200,C133,LE!$E$4:$E$200)+SUMIF(LN!$C$4:$C$48,C133,LN!$E$4:$E$48)+SUMIF(LCE!$C$4:$C$40,C133,LCE!$E$4:$E$40)+SUMIF(LI!$C$4:$C$55,C133,LI!$E$4:$E$55)+SUMIF(LAP!$C$4:$C$45,C133,LAP!$E$4:$E$45)+SUMIF(LGDM!$C$4:$C$15,C133,LGDM!$E$4:$E$15)+SUMIF(LAM!$C$5:$C$18,C133,LAM!$E$5:$E$18)+SUMIF(DEP!$C$4:$C$55,C133,DEP!$E$4:$E$55)</f>
        <v>15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ht="13.5" customHeight="1">
      <c r="A134" s="9"/>
      <c r="B134" s="107">
        <v>6.0</v>
      </c>
      <c r="C134" s="38" t="s">
        <v>109</v>
      </c>
      <c r="D134" s="288">
        <f t="shared" si="6"/>
        <v>4</v>
      </c>
      <c r="E134" s="243">
        <f>COUNTIF(LCB!$C$4:$C$40,C134)</f>
        <v>0</v>
      </c>
      <c r="F134" s="243">
        <f>COUNTIF(LM!$C$4:$C$144,C134)</f>
        <v>0</v>
      </c>
      <c r="G134" s="243">
        <f>COUNTIF(LO!$C$4:$C$227,C134)</f>
        <v>0</v>
      </c>
      <c r="H134" s="243">
        <f>COUNTIF(LE!$C$4:$C$214,C134)</f>
        <v>2</v>
      </c>
      <c r="I134" s="289">
        <f>COUNTIF(LN!$C$4:$C$53,C134)</f>
        <v>1</v>
      </c>
      <c r="J134" s="289">
        <f>COUNTIF(LCE!$C$3:$C$43,C134)</f>
        <v>1</v>
      </c>
      <c r="K134" s="289">
        <f>COUNTIF(LI!$C$4:$C$60,C134)</f>
        <v>0</v>
      </c>
      <c r="L134" s="289">
        <f>COUNTIF(LAP!$C$5:$C$45,C134)</f>
        <v>0</v>
      </c>
      <c r="M134" s="289">
        <f>COUNTIF(LGDM!$C$4:$C$22,C134)</f>
        <v>0</v>
      </c>
      <c r="N134" s="289">
        <f>COUNTIF(LAM!$C$5:$C$21,C134)</f>
        <v>0</v>
      </c>
      <c r="O134" s="243">
        <f>COUNTIF(DEP!$C$3:$C$61,C134)</f>
        <v>0</v>
      </c>
      <c r="P134" s="291">
        <f>SUMIF(LCB!$C$4:$C$45,C134,LCB!$F$4:$F$45)+SUMIF(LM!$C$4:$C$140,C134,LM!$F$4:$F$140)+SUMIF(LO!$C$4:$C$230,C134,LO!$F$4:$F$230)+SUMIF(LE!$C$4:$C$200,C134,LE!$F$4:$F$200)+SUMIF(LN!$C$4:$C$48,C134,LN!$F$4:$F$48)+SUMIF(LCE!$C$4:$C$40,C134,LCE!$F$4:$F$40)+SUMIF(LI!$C$4:$C$55,C134,LI!$F$4:$F$55)+SUMIF(LAP!$C$4:$C$45,C134,LAP!$F$4:$F$45)+SUMIF(LGDM!$C$4:$C$22,C134,LGDM!$F$4:$F$22)+SUMIF(LAM!$C$4:$C$18,C134,LAM!$F$4:$F$18)+SUMIF(DEP!$C$4:$C$55,C134,DEP!$F$4:$F$55)</f>
        <v>68</v>
      </c>
      <c r="Q134" s="243">
        <f>SUMIF(LCB!$C$4:$C$45,C134,LCB!$E$4:$E$45)+SUMIF(LM!$C$4:$C$140,C134,LM!$E$4:$E$140)+SUMIF(LO!$C$4:$C$230,C134,LO!$E$4:$E$230)+SUMIF(LE!$C$4:$C$200,C134,LE!$E$4:$E$200)+SUMIF(LN!$C$4:$C$48,C134,LN!$E$4:$E$48)+SUMIF(LCE!$C$4:$C$40,C134,LCE!$E$4:$E$40)+SUMIF(LI!$C$4:$C$55,C134,LI!$E$4:$E$55)+SUMIF(LAP!$C$4:$C$45,C134,LAP!$E$4:$E$45)+SUMIF(LGDM!$C$4:$C$15,C134,LGDM!$E$4:$E$15)+SUMIF(LAM!$C$5:$C$18,C134,LAM!$E$5:$E$18)+SUMIF(DEP!$C$4:$C$55,C134,DEP!$E$4:$E$55)</f>
        <v>18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ht="13.5" customHeight="1">
      <c r="A135" s="9"/>
      <c r="B135" s="9">
        <v>7.0</v>
      </c>
      <c r="C135" s="38" t="s">
        <v>388</v>
      </c>
      <c r="D135" s="288">
        <f t="shared" si="6"/>
        <v>3</v>
      </c>
      <c r="E135" s="243">
        <f>COUNTIF(LCB!$C$4:$C$40,C135)</f>
        <v>0</v>
      </c>
      <c r="F135" s="243">
        <f>COUNTIF(LM!$C$4:$C$144,C135)</f>
        <v>0</v>
      </c>
      <c r="G135" s="243">
        <f>COUNTIF(LO!$C$4:$C$227,C135)</f>
        <v>0</v>
      </c>
      <c r="H135" s="243">
        <f>COUNTIF(LE!$C$4:$C$214,C135)</f>
        <v>0</v>
      </c>
      <c r="I135" s="289">
        <f>COUNTIF(LN!$C$4:$C$53,C135)</f>
        <v>0</v>
      </c>
      <c r="J135" s="289">
        <f>COUNTIF(LCE!$C$3:$C$43,C135)</f>
        <v>2</v>
      </c>
      <c r="K135" s="289">
        <f>COUNTIF(LI!$C$4:$C$60,C135)</f>
        <v>0</v>
      </c>
      <c r="L135" s="289">
        <f>COUNTIF(LAP!$C$5:$C$45,C135)</f>
        <v>0</v>
      </c>
      <c r="M135" s="289">
        <f>COUNTIF(LGDM!$C$4:$C$22,C135)</f>
        <v>1</v>
      </c>
      <c r="N135" s="289">
        <f>COUNTIF(LAM!$C$5:$C$21,C135)</f>
        <v>0</v>
      </c>
      <c r="O135" s="243">
        <f>COUNTIF(DEP!$C$3:$C$61,C135)</f>
        <v>0</v>
      </c>
      <c r="P135" s="291">
        <f>SUMIF(LCB!$C$4:$C$45,C135,LCB!$F$4:$F$45)+SUMIF(LM!$C$4:$C$140,C135,LM!$F$4:$F$140)+SUMIF(LO!$C$4:$C$230,C135,LO!$F$4:$F$230)+SUMIF(LE!$C$4:$C$200,C135,LE!$F$4:$F$200)+SUMIF(LN!$C$4:$C$48,C135,LN!$F$4:$F$48)+SUMIF(LCE!$C$4:$C$40,C135,LCE!$F$4:$F$40)+SUMIF(LI!$C$4:$C$55,C135,LI!$F$4:$F$55)+SUMIF(LAP!$C$4:$C$45,C135,LAP!$F$4:$F$45)+SUMIF(LGDM!$C$4:$C$22,C135,LGDM!$F$4:$F$22)+SUMIF(LAM!$C$4:$C$18,C135,LAM!$F$4:$F$18)+SUMIF(DEP!$C$4:$C$55,C135,DEP!$F$4:$F$55)</f>
        <v>57</v>
      </c>
      <c r="Q135" s="243">
        <f>SUMIF(LCB!$C$4:$C$45,C135,LCB!$E$4:$E$45)+SUMIF(LM!$C$4:$C$140,C135,LM!$E$4:$E$140)+SUMIF(LO!$C$4:$C$230,C135,LO!$E$4:$E$230)+SUMIF(LE!$C$4:$C$200,C135,LE!$E$4:$E$200)+SUMIF(LN!$C$4:$C$48,C135,LN!$E$4:$E$48)+SUMIF(LCE!$C$4:$C$40,C135,LCE!$E$4:$E$40)+SUMIF(LI!$C$4:$C$55,C135,LI!$E$4:$E$55)+SUMIF(LAP!$C$4:$C$45,C135,LAP!$E$4:$E$45)+SUMIF(LGDM!$C$4:$C$15,C135,LGDM!$E$4:$E$15)+SUMIF(LAM!$C$5:$C$18,C135,LAM!$E$5:$E$18)+SUMIF(DEP!$C$4:$C$55,C135,DEP!$E$4:$E$55)</f>
        <v>15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ht="13.5" customHeight="1">
      <c r="A136" s="9"/>
      <c r="B136" s="107">
        <v>8.0</v>
      </c>
      <c r="C136" s="38" t="s">
        <v>128</v>
      </c>
      <c r="D136" s="288">
        <f t="shared" si="6"/>
        <v>4</v>
      </c>
      <c r="E136" s="243">
        <f>COUNTIF(LCB!$C$4:$C$40,C136)</f>
        <v>0</v>
      </c>
      <c r="F136" s="243">
        <f>COUNTIF(LM!$C$4:$C$144,C136)</f>
        <v>1</v>
      </c>
      <c r="G136" s="243">
        <f>COUNTIF(LO!$C$4:$C$227,C136)</f>
        <v>0</v>
      </c>
      <c r="H136" s="243">
        <f>COUNTIF(LE!$C$4:$C$214,C136)</f>
        <v>2</v>
      </c>
      <c r="I136" s="289">
        <f>COUNTIF(LN!$C$4:$C$53,C136)</f>
        <v>0</v>
      </c>
      <c r="J136" s="289">
        <f>COUNTIF(LCE!$C$3:$C$43,C136)</f>
        <v>1</v>
      </c>
      <c r="K136" s="289">
        <f>COUNTIF(LI!$C$4:$C$60,C136)</f>
        <v>0</v>
      </c>
      <c r="L136" s="289">
        <f>COUNTIF(LAP!$C$5:$C$45,C136)</f>
        <v>0</v>
      </c>
      <c r="M136" s="289">
        <f>COUNTIF(LGDM!$C$4:$C$22,C136)</f>
        <v>0</v>
      </c>
      <c r="N136" s="289">
        <f>COUNTIF(LAM!$C$5:$C$21,C136)</f>
        <v>0</v>
      </c>
      <c r="O136" s="243">
        <f>COUNTIF(DEP!$C$3:$C$61,C136)</f>
        <v>0</v>
      </c>
      <c r="P136" s="291">
        <f>SUMIF(LCB!$C$4:$C$45,C136,LCB!$F$4:$F$45)+SUMIF(LM!$C$4:$C$140,C136,LM!$F$4:$F$140)+SUMIF(LO!$C$4:$C$230,C136,LO!$F$4:$F$230)+SUMIF(LE!$C$4:$C$200,C136,LE!$F$4:$F$200)+SUMIF(LN!$C$4:$C$48,C136,LN!$F$4:$F$48)+SUMIF(LCE!$C$4:$C$40,C136,LCE!$F$4:$F$40)+SUMIF(LI!$C$4:$C$55,C136,LI!$F$4:$F$55)+SUMIF(LAP!$C$4:$C$45,C136,LAP!$F$4:$F$45)+SUMIF(LGDM!$C$4:$C$22,C136,LGDM!$F$4:$F$22)+SUMIF(LAM!$C$4:$C$18,C136,LAM!$F$4:$F$18)+SUMIF(DEP!$C$4:$C$55,C136,DEP!$F$4:$F$55)</f>
        <v>71</v>
      </c>
      <c r="Q136" s="243">
        <f>SUMIF(LCB!$C$4:$C$45,C136,LCB!$E$4:$E$45)+SUMIF(LM!$C$4:$C$140,C136,LM!$E$4:$E$140)+SUMIF(LO!$C$4:$C$230,C136,LO!$E$4:$E$230)+SUMIF(LE!$C$4:$C$200,C136,LE!$E$4:$E$200)+SUMIF(LN!$C$4:$C$48,C136,LN!$E$4:$E$48)+SUMIF(LCE!$C$4:$C$40,C136,LCE!$E$4:$E$40)+SUMIF(LI!$C$4:$C$55,C136,LI!$E$4:$E$55)+SUMIF(LAP!$C$4:$C$45,C136,LAP!$E$4:$E$45)+SUMIF(LGDM!$C$4:$C$15,C136,LGDM!$E$4:$E$15)+SUMIF(LAM!$C$5:$C$18,C136,LAM!$E$5:$E$18)+SUMIF(DEP!$C$4:$C$55,C136,DEP!$E$4:$E$55)</f>
        <v>17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ht="13.5" customHeight="1">
      <c r="A137" s="9"/>
      <c r="B137" s="107">
        <v>9.0</v>
      </c>
      <c r="C137" s="38" t="s">
        <v>436</v>
      </c>
      <c r="D137" s="288">
        <f t="shared" si="6"/>
        <v>2</v>
      </c>
      <c r="E137" s="243">
        <f>COUNTIF(LCB!$C$4:$C$40,C137)</f>
        <v>0</v>
      </c>
      <c r="F137" s="243">
        <f>COUNTIF(LM!$C$4:$C$144,C137)</f>
        <v>0</v>
      </c>
      <c r="G137" s="243">
        <f>COUNTIF(LO!$C$4:$C$227,C137)</f>
        <v>0</v>
      </c>
      <c r="H137" s="243">
        <f>COUNTIF(LE!$C$4:$C$214,C137)</f>
        <v>0</v>
      </c>
      <c r="I137" s="289">
        <f>COUNTIF(LN!$C$4:$C$53,C137)</f>
        <v>0</v>
      </c>
      <c r="J137" s="289">
        <f>COUNTIF(LCE!$C$3:$C$43,C137)</f>
        <v>2</v>
      </c>
      <c r="K137" s="289">
        <f>COUNTIF(LI!$C$4:$C$60,C137)</f>
        <v>0</v>
      </c>
      <c r="L137" s="289">
        <f>COUNTIF(LAP!$C$5:$C$45,C137)</f>
        <v>0</v>
      </c>
      <c r="M137" s="289">
        <f>COUNTIF(LGDM!$C$4:$C$22,C137)</f>
        <v>0</v>
      </c>
      <c r="N137" s="289">
        <f>COUNTIF(LAM!$C$5:$C$21,C137)</f>
        <v>0</v>
      </c>
      <c r="O137" s="243">
        <f>COUNTIF(DEP!$C$3:$C$61,C137)</f>
        <v>0</v>
      </c>
      <c r="P137" s="291">
        <f>SUMIF(LCB!$C$4:$C$45,C137,LCB!$F$4:$F$45)+SUMIF(LM!$C$4:$C$140,C137,LM!$F$4:$F$140)+SUMIF(LO!$C$4:$C$230,C137,LO!$F$4:$F$230)+SUMIF(LE!$C$4:$C$200,C137,LE!$F$4:$F$200)+SUMIF(LN!$C$4:$C$48,C137,LN!$F$4:$F$48)+SUMIF(LCE!$C$4:$C$40,C137,LCE!$F$4:$F$40)+SUMIF(LI!$C$4:$C$55,C137,LI!$F$4:$F$55)+SUMIF(LAP!$C$4:$C$45,C137,LAP!$F$4:$F$45)+SUMIF(LGDM!$C$4:$C$22,C137,LGDM!$F$4:$F$22)+SUMIF(LAM!$C$4:$C$18,C137,LAM!$F$4:$F$18)+SUMIF(DEP!$C$4:$C$55,C137,DEP!$F$4:$F$55)</f>
        <v>40</v>
      </c>
      <c r="Q137" s="243">
        <f>SUMIF(LCB!$C$4:$C$45,C137,LCB!$E$4:$E$45)+SUMIF(LM!$C$4:$C$140,C137,LM!$E$4:$E$140)+SUMIF(LO!$C$4:$C$230,C137,LO!$E$4:$E$230)+SUMIF(LE!$C$4:$C$200,C137,LE!$E$4:$E$200)+SUMIF(LN!$C$4:$C$48,C137,LN!$E$4:$E$48)+SUMIF(LCE!$C$4:$C$40,C137,LCE!$E$4:$E$40)+SUMIF(LI!$C$4:$C$55,C137,LI!$E$4:$E$55)+SUMIF(LAP!$C$4:$C$45,C137,LAP!$E$4:$E$45)+SUMIF(LGDM!$C$4:$C$15,C137,LGDM!$E$4:$E$15)+SUMIF(LAM!$C$5:$C$18,C137,LAM!$E$5:$E$18)+SUMIF(DEP!$C$4:$C$55,C137,DEP!$E$4:$E$55)</f>
        <v>10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ht="13.5" customHeight="1">
      <c r="A138" s="9"/>
      <c r="B138" s="9">
        <v>10.0</v>
      </c>
      <c r="C138" s="38" t="s">
        <v>40</v>
      </c>
      <c r="D138" s="288">
        <f t="shared" si="6"/>
        <v>4</v>
      </c>
      <c r="E138" s="243">
        <f>COUNTIF(LCB!$C$4:$C$40,C138)</f>
        <v>1</v>
      </c>
      <c r="F138" s="243">
        <f>COUNTIF(LM!$C$4:$C$144,C138)</f>
        <v>2</v>
      </c>
      <c r="G138" s="243">
        <f>COUNTIF(LO!$C$4:$C$227,C138)</f>
        <v>1</v>
      </c>
      <c r="H138" s="243">
        <f>COUNTIF(LE!$C$4:$C$214,C138)</f>
        <v>0</v>
      </c>
      <c r="I138" s="289">
        <f>COUNTIF(LN!$C$4:$C$53,C138)</f>
        <v>0</v>
      </c>
      <c r="J138" s="289">
        <f>COUNTIF(LCE!$C$3:$C$43,C138)</f>
        <v>0</v>
      </c>
      <c r="K138" s="289">
        <f>COUNTIF(LI!$C$4:$C$60,C138)</f>
        <v>0</v>
      </c>
      <c r="L138" s="289">
        <f>COUNTIF(LAP!$C$5:$C$45,C138)</f>
        <v>0</v>
      </c>
      <c r="M138" s="289">
        <f>COUNTIF(LGDM!$C$4:$C$22,C138)</f>
        <v>0</v>
      </c>
      <c r="N138" s="289">
        <f>COUNTIF(LAM!$C$5:$C$21,C138)</f>
        <v>0</v>
      </c>
      <c r="O138" s="243">
        <f>COUNTIF(DEP!$C$3:$C$61,C138)</f>
        <v>0</v>
      </c>
      <c r="P138" s="291">
        <f>SUMIF(LCB!$C$4:$C$45,C138,LCB!$F$4:$F$45)+SUMIF(LM!$C$4:$C$140,C138,LM!$F$4:$F$140)+SUMIF(LO!$C$4:$C$230,C138,LO!$F$4:$F$230)+SUMIF(LE!$C$4:$C$200,C138,LE!$F$4:$F$200)+SUMIF(LN!$C$4:$C$48,C138,LN!$F$4:$F$48)+SUMIF(LCE!$C$4:$C$40,C138,LCE!$F$4:$F$40)+SUMIF(LI!$C$4:$C$55,C138,LI!$F$4:$F$55)+SUMIF(LAP!$C$4:$C$45,C138,LAP!$F$4:$F$45)+SUMIF(LGDM!$C$4:$C$22,C138,LGDM!$F$4:$F$22)+SUMIF(LAM!$C$4:$C$18,C138,LAM!$F$4:$F$18)+SUMIF(DEP!$C$4:$C$55,C138,DEP!$F$4:$F$55)</f>
        <v>70</v>
      </c>
      <c r="Q138" s="243">
        <f>SUMIF(LCB!$C$4:$C$45,C138,LCB!$E$4:$E$45)+SUMIF(LM!$C$4:$C$140,C138,LM!$E$4:$E$140)+SUMIF(LO!$C$4:$C$230,C138,LO!$E$4:$E$230)+SUMIF(LE!$C$4:$C$200,C138,LE!$E$4:$E$200)+SUMIF(LN!$C$4:$C$48,C138,LN!$E$4:$E$48)+SUMIF(LCE!$C$4:$C$40,C138,LCE!$E$4:$E$40)+SUMIF(LI!$C$4:$C$55,C138,LI!$E$4:$E$55)+SUMIF(LAP!$C$4:$C$45,C138,LAP!$E$4:$E$45)+SUMIF(LGDM!$C$4:$C$15,C138,LGDM!$E$4:$E$15)+SUMIF(LAM!$C$5:$C$18,C138,LAM!$E$5:$E$18)+SUMIF(DEP!$C$4:$C$55,C138,DEP!$E$4:$E$55)</f>
        <v>17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ht="13.5" customHeight="1">
      <c r="A139" s="9"/>
      <c r="B139" s="107">
        <v>11.0</v>
      </c>
      <c r="C139" s="38" t="s">
        <v>140</v>
      </c>
      <c r="D139" s="288">
        <f t="shared" si="6"/>
        <v>4</v>
      </c>
      <c r="E139" s="243">
        <f>COUNTIF(LCB!$C$4:$C$40,C139)</f>
        <v>0</v>
      </c>
      <c r="F139" s="243">
        <f>COUNTIF(LM!$C$4:$C$144,C139)</f>
        <v>2</v>
      </c>
      <c r="G139" s="243">
        <f>COUNTIF(LO!$C$4:$C$227,C139)</f>
        <v>2</v>
      </c>
      <c r="H139" s="243">
        <f>COUNTIF(LE!$C$4:$C$214,C139)</f>
        <v>0</v>
      </c>
      <c r="I139" s="289">
        <f>COUNTIF(LN!$C$4:$C$53,C139)</f>
        <v>0</v>
      </c>
      <c r="J139" s="289">
        <f>COUNTIF(LCE!$C$3:$C$43,C139)</f>
        <v>0</v>
      </c>
      <c r="K139" s="289">
        <f>COUNTIF(LI!$C$4:$C$60,C139)</f>
        <v>0</v>
      </c>
      <c r="L139" s="289">
        <f>COUNTIF(LAP!$C$5:$C$45,C139)</f>
        <v>0</v>
      </c>
      <c r="M139" s="289">
        <f>COUNTIF(LGDM!$C$4:$C$22,C139)</f>
        <v>0</v>
      </c>
      <c r="N139" s="289">
        <f>COUNTIF(LAM!$C$5:$C$21,C139)</f>
        <v>0</v>
      </c>
      <c r="O139" s="243">
        <f>COUNTIF(DEP!$C$3:$C$61,C139)</f>
        <v>0</v>
      </c>
      <c r="P139" s="291">
        <f>SUMIF(LCB!$C$4:$C$45,C139,LCB!$F$4:$F$45)+SUMIF(LM!$C$4:$C$140,C139,LM!$F$4:$F$140)+SUMIF(LO!$C$4:$C$230,C139,LO!$F$4:$F$230)+SUMIF(LE!$C$4:$C$200,C139,LE!$F$4:$F$200)+SUMIF(LN!$C$4:$C$48,C139,LN!$F$4:$F$48)+SUMIF(LCE!$C$4:$C$40,C139,LCE!$F$4:$F$40)+SUMIF(LI!$C$4:$C$55,C139,LI!$F$4:$F$55)+SUMIF(LAP!$C$4:$C$45,C139,LAP!$F$4:$F$45)+SUMIF(LGDM!$C$4:$C$22,C139,LGDM!$F$4:$F$22)+SUMIF(LAM!$C$4:$C$18,C139,LAM!$F$4:$F$18)+SUMIF(DEP!$C$4:$C$55,C139,DEP!$F$4:$F$55)</f>
        <v>92</v>
      </c>
      <c r="Q139" s="243">
        <f>SUMIF(LCB!$C$4:$C$45,C139,LCB!$E$4:$E$45)+SUMIF(LM!$C$4:$C$140,C139,LM!$E$4:$E$140)+SUMIF(LO!$C$4:$C$230,C139,LO!$E$4:$E$230)+SUMIF(LE!$C$4:$C$200,C139,LE!$E$4:$E$200)+SUMIF(LN!$C$4:$C$48,C139,LN!$E$4:$E$48)+SUMIF(LCE!$C$4:$C$40,C139,LCE!$E$4:$E$40)+SUMIF(LI!$C$4:$C$55,C139,LI!$E$4:$E$55)+SUMIF(LAP!$C$4:$C$45,C139,LAP!$E$4:$E$45)+SUMIF(LGDM!$C$4:$C$15,C139,LGDM!$E$4:$E$15)+SUMIF(LAM!$C$5:$C$18,C139,LAM!$E$5:$E$18)+SUMIF(DEP!$C$4:$C$55,C139,DEP!$E$4:$E$55)</f>
        <v>18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ht="13.5" customHeight="1">
      <c r="A140" s="9"/>
      <c r="B140" s="107">
        <v>12.0</v>
      </c>
      <c r="C140" s="38" t="s">
        <v>431</v>
      </c>
      <c r="D140" s="288">
        <f t="shared" si="6"/>
        <v>3</v>
      </c>
      <c r="E140" s="243">
        <f>COUNTIF(LCB!$C$4:$C$40,C140)</f>
        <v>0</v>
      </c>
      <c r="F140" s="243">
        <f>COUNTIF(LM!$C$4:$C$144,C140)</f>
        <v>0</v>
      </c>
      <c r="G140" s="243">
        <f>COUNTIF(LO!$C$4:$C$227,C140)</f>
        <v>0</v>
      </c>
      <c r="H140" s="243">
        <f>COUNTIF(LE!$C$4:$C$214,C140)</f>
        <v>0</v>
      </c>
      <c r="I140" s="289">
        <f>COUNTIF(LN!$C$4:$C$53,C140)</f>
        <v>0</v>
      </c>
      <c r="J140" s="289">
        <f>COUNTIF(LCE!$C$3:$C$43,C140)</f>
        <v>2</v>
      </c>
      <c r="K140" s="289">
        <f>COUNTIF(LI!$C$4:$C$60,C140)</f>
        <v>0</v>
      </c>
      <c r="L140" s="289">
        <f>COUNTIF(LAP!$C$5:$C$45,C140)</f>
        <v>1</v>
      </c>
      <c r="M140" s="289">
        <f>COUNTIF(LGDM!$C$4:$C$22,C140)</f>
        <v>0</v>
      </c>
      <c r="N140" s="289">
        <f>COUNTIF(LAM!$C$5:$C$21,C140)</f>
        <v>0</v>
      </c>
      <c r="O140" s="243">
        <f>COUNTIF(DEP!$C$3:$C$61,C140)</f>
        <v>0</v>
      </c>
      <c r="P140" s="291">
        <f>SUMIF(LCB!$C$4:$C$45,C140,LCB!$F$4:$F$45)+SUMIF(LM!$C$4:$C$140,C140,LM!$F$4:$F$140)+SUMIF(LO!$C$4:$C$230,C140,LO!$F$4:$F$230)+SUMIF(LE!$C$4:$C$200,C140,LE!$F$4:$F$200)+SUMIF(LN!$C$4:$C$48,C140,LN!$F$4:$F$48)+SUMIF(LCE!$C$4:$C$40,C140,LCE!$F$4:$F$40)+SUMIF(LI!$C$4:$C$55,C140,LI!$F$4:$F$55)+SUMIF(LAP!$C$4:$C$45,C140,LAP!$F$4:$F$45)+SUMIF(LGDM!$C$4:$C$22,C140,LGDM!$F$4:$F$22)+SUMIF(LAM!$C$4:$C$18,C140,LAM!$F$4:$F$18)+SUMIF(DEP!$C$4:$C$55,C140,DEP!$F$4:$F$55)</f>
        <v>43</v>
      </c>
      <c r="Q140" s="243">
        <f>SUMIF(LCB!$C$4:$C$45,C140,LCB!$E$4:$E$45)+SUMIF(LM!$C$4:$C$140,C140,LM!$E$4:$E$140)+SUMIF(LO!$C$4:$C$230,C140,LO!$E$4:$E$230)+SUMIF(LE!$C$4:$C$200,C140,LE!$E$4:$E$200)+SUMIF(LN!$C$4:$C$48,C140,LN!$E$4:$E$48)+SUMIF(LCE!$C$4:$C$40,C140,LCE!$E$4:$E$40)+SUMIF(LI!$C$4:$C$55,C140,LI!$E$4:$E$55)+SUMIF(LAP!$C$4:$C$45,C140,LAP!$E$4:$E$45)+SUMIF(LGDM!$C$4:$C$15,C140,LGDM!$E$4:$E$15)+SUMIF(LAM!$C$5:$C$18,C140,LAM!$E$5:$E$18)+SUMIF(DEP!$C$4:$C$55,C140,DEP!$E$4:$E$55)</f>
        <v>15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ht="13.5" customHeight="1">
      <c r="A141" s="9"/>
      <c r="B141" s="9">
        <v>13.0</v>
      </c>
      <c r="C141" s="148" t="s">
        <v>476</v>
      </c>
      <c r="D141" s="13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ht="13.5" customHeight="1">
      <c r="A142" s="9"/>
      <c r="B142" s="107">
        <v>14.0</v>
      </c>
      <c r="C142" s="148" t="s">
        <v>482</v>
      </c>
      <c r="D142" s="13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ht="13.5" customHeight="1">
      <c r="A143" s="9"/>
      <c r="B143" s="9"/>
      <c r="C143" s="358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ht="13.5" customHeight="1">
      <c r="A144" s="9"/>
      <c r="B144" s="9"/>
      <c r="C144" s="358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ht="15.75" customHeight="1">
      <c r="A145" s="9"/>
      <c r="B145" s="282" t="s">
        <v>48</v>
      </c>
      <c r="C145" s="356" t="s">
        <v>685</v>
      </c>
      <c r="D145" s="129" t="s">
        <v>334</v>
      </c>
      <c r="E145" s="284" t="s">
        <v>23</v>
      </c>
      <c r="F145" s="284" t="s">
        <v>15</v>
      </c>
      <c r="G145" s="284" t="s">
        <v>46</v>
      </c>
      <c r="H145" s="284" t="s">
        <v>16</v>
      </c>
      <c r="I145" s="284" t="s">
        <v>252</v>
      </c>
      <c r="J145" s="284" t="s">
        <v>41</v>
      </c>
      <c r="K145" s="284" t="s">
        <v>48</v>
      </c>
      <c r="L145" s="284" t="s">
        <v>58</v>
      </c>
      <c r="M145" s="286" t="s">
        <v>439</v>
      </c>
      <c r="N145" s="284" t="s">
        <v>687</v>
      </c>
      <c r="O145" s="284" t="s">
        <v>56</v>
      </c>
      <c r="P145" s="129" t="s">
        <v>210</v>
      </c>
      <c r="Q145" s="129" t="s">
        <v>688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ht="13.5" customHeight="1">
      <c r="A146" s="9"/>
      <c r="B146" s="240">
        <v>1.0</v>
      </c>
      <c r="C146" s="38" t="s">
        <v>501</v>
      </c>
      <c r="D146" s="288">
        <f t="shared" ref="D146:D162" si="7">SUM(E146:O146)</f>
        <v>1</v>
      </c>
      <c r="E146" s="243">
        <f>COUNTIF(LCB!$C$4:$C$40,C146)</f>
        <v>0</v>
      </c>
      <c r="F146" s="243">
        <f>COUNTIF(LM!$C$4:$C$144,C146)</f>
        <v>0</v>
      </c>
      <c r="G146" s="243">
        <f>COUNTIF(LO!$C$4:$C$227,C146)</f>
        <v>0</v>
      </c>
      <c r="H146" s="243">
        <f>COUNTIF(LE!$C$4:$C$214,C146)</f>
        <v>0</v>
      </c>
      <c r="I146" s="289">
        <f>COUNTIF(LN!$C$4:$C$53,C146)</f>
        <v>0</v>
      </c>
      <c r="J146" s="289">
        <f>COUNTIF(LCE!$C$3:$C$43,C146)</f>
        <v>0</v>
      </c>
      <c r="K146" s="289">
        <f>COUNTIF(LI!$C$4:$C$60,C146)</f>
        <v>1</v>
      </c>
      <c r="L146" s="289">
        <f>COUNTIF(LAP!$C$5:$C$45,C146)</f>
        <v>0</v>
      </c>
      <c r="M146" s="289">
        <f>COUNTIF(LGDM!$C$4:$C$22,C146)</f>
        <v>0</v>
      </c>
      <c r="N146" s="289">
        <f>COUNTIF(LAM!$C$5:$C$21,C146)</f>
        <v>0</v>
      </c>
      <c r="O146" s="243">
        <f>COUNTIF(DEP!$C$3:$C$61,C146)</f>
        <v>0</v>
      </c>
      <c r="P146" s="291">
        <f>SUMIF(LCB!$C$4:$C$45,C146,LCB!$F$4:$F$45)+SUMIF(LM!$C$4:$C$140,C146,LM!$F$4:$F$140)+SUMIF(LO!$C$4:$C$230,C146,LO!$F$4:$F$230)+SUMIF(LE!$C$4:$C$200,C146,LE!$F$4:$F$200)+SUMIF(LN!$C$4:$C$48,C146,LN!$F$4:$F$48)+SUMIF(LCE!$C$4:$C$40,C146,LCE!$F$4:$F$40)+SUMIF(LI!$C$4:$C$55,C146,LI!$F$4:$F$55)+SUMIF(LAP!$C$4:$C$45,C146,LAP!$F$4:$F$45)+SUMIF(LGDM!$C$4:$C$22,C146,LGDM!$F$4:$F$22)+SUMIF(LAM!$C$4:$C$18,C146,LAM!$F$4:$F$18)+SUMIF(DEP!$C$4:$C$55,C146,DEP!$F$4:$F$55)</f>
        <v>16</v>
      </c>
      <c r="Q146" s="243">
        <f>SUMIF(LCB!$C$4:$C$45,C146,LCB!$E$4:$E$45)+SUMIF(LM!$C$4:$C$140,C146,LM!$E$4:$E$140)+SUMIF(LO!$C$4:$C$230,C146,LO!$E$4:$E$230)+SUMIF(LE!$C$4:$C$200,C146,LE!$E$4:$E$200)+SUMIF(LN!$C$4:$C$48,C146,LN!$E$4:$E$48)+SUMIF(LCE!$C$4:$C$40,C146,LCE!$E$4:$E$40)+SUMIF(LI!$C$4:$C$55,C146,LI!$E$4:$E$55)+SUMIF(LAP!$C$4:$C$45,C146,LAP!$E$4:$E$45)+SUMIF(LGDM!$C$4:$C$15,C146,LGDM!$E$4:$E$15)+SUMIF(LAM!$C$5:$C$18,C146,LAM!$E$5:$E$18)+SUMIF(DEP!$C$4:$C$55,C146,DEP!$E$4:$E$55)</f>
        <v>5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ht="13.5" customHeight="1">
      <c r="A147" s="9"/>
      <c r="B147" s="240">
        <v>2.0</v>
      </c>
      <c r="C147" s="38" t="s">
        <v>481</v>
      </c>
      <c r="D147" s="288">
        <f t="shared" si="7"/>
        <v>3</v>
      </c>
      <c r="E147" s="243">
        <f>COUNTIF(LCB!$C$4:$C$40,C147)</f>
        <v>0</v>
      </c>
      <c r="F147" s="243">
        <f>COUNTIF(LM!$C$4:$C$144,C147)</f>
        <v>0</v>
      </c>
      <c r="G147" s="243">
        <f>COUNTIF(LO!$C$4:$C$227,C147)</f>
        <v>0</v>
      </c>
      <c r="H147" s="243">
        <f>COUNTIF(LE!$C$4:$C$214,C147)</f>
        <v>0</v>
      </c>
      <c r="I147" s="289">
        <f>COUNTIF(LN!$C$4:$C$53,C147)</f>
        <v>0</v>
      </c>
      <c r="J147" s="289">
        <f>COUNTIF(LCE!$C$3:$C$43,C147)</f>
        <v>0</v>
      </c>
      <c r="K147" s="289">
        <f>COUNTIF(LI!$C$4:$C$60,C147)</f>
        <v>3</v>
      </c>
      <c r="L147" s="289">
        <f>COUNTIF(LAP!$C$5:$C$45,C147)</f>
        <v>0</v>
      </c>
      <c r="M147" s="289">
        <f>COUNTIF(LGDM!$C$4:$C$22,C147)</f>
        <v>0</v>
      </c>
      <c r="N147" s="289">
        <f>COUNTIF(LAM!$C$5:$C$21,C147)</f>
        <v>0</v>
      </c>
      <c r="O147" s="243">
        <f>COUNTIF(DEP!$C$3:$C$61,C147)</f>
        <v>0</v>
      </c>
      <c r="P147" s="291">
        <f>SUMIF(LCB!$C$4:$C$45,C147,LCB!$F$4:$F$45)+SUMIF(LM!$C$4:$C$140,C147,LM!$F$4:$F$140)+SUMIF(LO!$C$4:$C$230,C147,LO!$F$4:$F$230)+SUMIF(LE!$C$4:$C$200,C147,LE!$F$4:$F$200)+SUMIF(LN!$C$4:$C$48,C147,LN!$F$4:$F$48)+SUMIF(LCE!$C$4:$C$40,C147,LCE!$F$4:$F$40)+SUMIF(LI!$C$4:$C$55,C147,LI!$F$4:$F$55)+SUMIF(LAP!$C$4:$C$45,C147,LAP!$F$4:$F$45)+SUMIF(LGDM!$C$4:$C$22,C147,LGDM!$F$4:$F$22)+SUMIF(LAM!$C$4:$C$18,C147,LAM!$F$4:$F$18)+SUMIF(DEP!$C$4:$C$55,C147,DEP!$F$4:$F$55)</f>
        <v>61</v>
      </c>
      <c r="Q147" s="243">
        <f>SUMIF(LCB!$C$4:$C$45,C147,LCB!$E$4:$E$45)+SUMIF(LM!$C$4:$C$140,C147,LM!$E$4:$E$140)+SUMIF(LO!$C$4:$C$230,C147,LO!$E$4:$E$230)+SUMIF(LE!$C$4:$C$200,C147,LE!$E$4:$E$200)+SUMIF(LN!$C$4:$C$48,C147,LN!$E$4:$E$48)+SUMIF(LCE!$C$4:$C$40,C147,LCE!$E$4:$E$40)+SUMIF(LI!$C$4:$C$55,C147,LI!$E$4:$E$55)+SUMIF(LAP!$C$4:$C$45,C147,LAP!$E$4:$E$45)+SUMIF(LGDM!$C$4:$C$15,C147,LGDM!$E$4:$E$15)+SUMIF(LAM!$C$5:$C$18,C147,LAM!$E$5:$E$18)+SUMIF(DEP!$C$4:$C$55,C147,DEP!$E$4:$E$55)</f>
        <v>15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ht="13.5" customHeight="1">
      <c r="A148" s="9"/>
      <c r="B148" s="240">
        <v>3.0</v>
      </c>
      <c r="C148" s="38" t="s">
        <v>45</v>
      </c>
      <c r="D148" s="288">
        <f t="shared" si="7"/>
        <v>3</v>
      </c>
      <c r="E148" s="243">
        <f>COUNTIF(LCB!$C$4:$C$40,C148)</f>
        <v>1</v>
      </c>
      <c r="F148" s="243">
        <f>COUNTIF(LM!$C$4:$C$144,C148)</f>
        <v>0</v>
      </c>
      <c r="G148" s="243">
        <f>COUNTIF(LO!$C$4:$C$227,C148)</f>
        <v>0</v>
      </c>
      <c r="H148" s="243">
        <f>COUNTIF(LE!$C$4:$C$214,C148)</f>
        <v>0</v>
      </c>
      <c r="I148" s="289">
        <f>COUNTIF(LN!$C$4:$C$53,C148)</f>
        <v>0</v>
      </c>
      <c r="J148" s="289">
        <f>COUNTIF(LCE!$C$3:$C$43,C148)</f>
        <v>0</v>
      </c>
      <c r="K148" s="289">
        <f>COUNTIF(LI!$C$4:$C$60,C148)</f>
        <v>2</v>
      </c>
      <c r="L148" s="289">
        <f>COUNTIF(LAP!$C$5:$C$45,C148)</f>
        <v>0</v>
      </c>
      <c r="M148" s="289">
        <f>COUNTIF(LGDM!$C$4:$C$22,C148)</f>
        <v>0</v>
      </c>
      <c r="N148" s="289">
        <f>COUNTIF(LAM!$C$5:$C$21,C148)</f>
        <v>0</v>
      </c>
      <c r="O148" s="243">
        <f>COUNTIF(DEP!$C$3:$C$61,C148)</f>
        <v>0</v>
      </c>
      <c r="P148" s="291">
        <f>SUMIF(LCB!$C$4:$C$45,C148,LCB!$F$4:$F$45)+SUMIF(LM!$C$4:$C$140,C148,LM!$F$4:$F$140)+SUMIF(LO!$C$4:$C$230,C148,LO!$F$4:$F$230)+SUMIF(LE!$C$4:$C$200,C148,LE!$F$4:$F$200)+SUMIF(LN!$C$4:$C$48,C148,LN!$F$4:$F$48)+SUMIF(LCE!$C$4:$C$40,C148,LCE!$F$4:$F$40)+SUMIF(LI!$C$4:$C$55,C148,LI!$F$4:$F$55)+SUMIF(LAP!$C$4:$C$45,C148,LAP!$F$4:$F$45)+SUMIF(LGDM!$C$4:$C$22,C148,LGDM!$F$4:$F$22)+SUMIF(LAM!$C$4:$C$18,C148,LAM!$F$4:$F$18)+SUMIF(DEP!$C$4:$C$55,C148,DEP!$F$4:$F$55)</f>
        <v>43</v>
      </c>
      <c r="Q148" s="243">
        <f>SUMIF(LCB!$C$4:$C$45,C148,LCB!$E$4:$E$45)+SUMIF(LM!$C$4:$C$140,C148,LM!$E$4:$E$140)+SUMIF(LO!$C$4:$C$230,C148,LO!$E$4:$E$230)+SUMIF(LE!$C$4:$C$200,C148,LE!$E$4:$E$200)+SUMIF(LN!$C$4:$C$48,C148,LN!$E$4:$E$48)+SUMIF(LCE!$C$4:$C$40,C148,LCE!$E$4:$E$40)+SUMIF(LI!$C$4:$C$55,C148,LI!$E$4:$E$55)+SUMIF(LAP!$C$4:$C$45,C148,LAP!$E$4:$E$45)+SUMIF(LGDM!$C$4:$C$15,C148,LGDM!$E$4:$E$15)+SUMIF(LAM!$C$5:$C$18,C148,LAM!$E$5:$E$18)+SUMIF(DEP!$C$4:$C$55,C148,DEP!$E$4:$E$55)</f>
        <v>15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ht="13.5" customHeight="1">
      <c r="A149" s="9"/>
      <c r="B149" s="240">
        <v>4.0</v>
      </c>
      <c r="C149" s="38" t="s">
        <v>276</v>
      </c>
      <c r="D149" s="288">
        <f t="shared" si="7"/>
        <v>3</v>
      </c>
      <c r="E149" s="243">
        <f>COUNTIF(LCB!$C$4:$C$40,C149)</f>
        <v>0</v>
      </c>
      <c r="F149" s="243">
        <f>COUNTIF(LM!$C$4:$C$144,C149)</f>
        <v>0</v>
      </c>
      <c r="G149" s="243">
        <f>COUNTIF(LO!$C$4:$C$227,C149)</f>
        <v>3</v>
      </c>
      <c r="H149" s="243">
        <f>COUNTIF(LE!$C$4:$C$214,C149)</f>
        <v>0</v>
      </c>
      <c r="I149" s="289">
        <f>COUNTIF(LN!$C$4:$C$53,C149)</f>
        <v>0</v>
      </c>
      <c r="J149" s="289">
        <f>COUNTIF(LCE!$C$3:$C$43,C149)</f>
        <v>0</v>
      </c>
      <c r="K149" s="289">
        <f>COUNTIF(LI!$C$4:$C$60,C149)</f>
        <v>0</v>
      </c>
      <c r="L149" s="289">
        <f>COUNTIF(LAP!$C$5:$C$45,C149)</f>
        <v>0</v>
      </c>
      <c r="M149" s="289">
        <f>COUNTIF(LGDM!$C$4:$C$22,C149)</f>
        <v>0</v>
      </c>
      <c r="N149" s="289">
        <f>COUNTIF(LAM!$C$5:$C$21,C149)</f>
        <v>0</v>
      </c>
      <c r="O149" s="243">
        <f>COUNTIF(DEP!$C$3:$C$61,C149)</f>
        <v>0</v>
      </c>
      <c r="P149" s="291">
        <f>SUMIF(LCB!$C$4:$C$45,C149,LCB!$F$4:$F$45)+SUMIF(LM!$C$4:$C$140,C149,LM!$F$4:$F$140)+SUMIF(LO!$C$4:$C$230,C149,LO!$F$4:$F$230)+SUMIF(LE!$C$4:$C$200,C149,LE!$F$4:$F$200)+SUMIF(LN!$C$4:$C$48,C149,LN!$F$4:$F$48)+SUMIF(LCE!$C$4:$C$40,C149,LCE!$F$4:$F$40)+SUMIF(LI!$C$4:$C$55,C149,LI!$F$4:$F$55)+SUMIF(LAP!$C$4:$C$45,C149,LAP!$F$4:$F$45)+SUMIF(LGDM!$C$4:$C$22,C149,LGDM!$F$4:$F$22)+SUMIF(LAM!$C$4:$C$18,C149,LAM!$F$4:$F$18)+SUMIF(DEP!$C$4:$C$55,C149,DEP!$F$4:$F$55)</f>
        <v>96</v>
      </c>
      <c r="Q149" s="243">
        <f>SUMIF(LCB!$C$4:$C$45,C149,LCB!$E$4:$E$45)+SUMIF(LM!$C$4:$C$140,C149,LM!$E$4:$E$140)+SUMIF(LO!$C$4:$C$230,C149,LO!$E$4:$E$230)+SUMIF(LE!$C$4:$C$200,C149,LE!$E$4:$E$200)+SUMIF(LN!$C$4:$C$48,C149,LN!$E$4:$E$48)+SUMIF(LCE!$C$4:$C$40,C149,LCE!$E$4:$E$40)+SUMIF(LI!$C$4:$C$55,C149,LI!$E$4:$E$55)+SUMIF(LAP!$C$4:$C$45,C149,LAP!$E$4:$E$45)+SUMIF(LGDM!$C$4:$C$15,C149,LGDM!$E$4:$E$15)+SUMIF(LAM!$C$5:$C$18,C149,LAM!$E$5:$E$18)+SUMIF(DEP!$C$4:$C$55,C149,DEP!$E$4:$E$55)</f>
        <v>15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ht="13.5" customHeight="1">
      <c r="A150" s="9"/>
      <c r="B150" s="240">
        <v>5.0</v>
      </c>
      <c r="C150" s="38" t="s">
        <v>117</v>
      </c>
      <c r="D150" s="288">
        <f t="shared" si="7"/>
        <v>3</v>
      </c>
      <c r="E150" s="243">
        <f>COUNTIF(LCB!$C$4:$C$40,C150)</f>
        <v>1</v>
      </c>
      <c r="F150" s="243">
        <f>COUNTIF(LM!$C$4:$C$144,C150)</f>
        <v>0</v>
      </c>
      <c r="G150" s="243">
        <f>COUNTIF(LO!$C$4:$C$227,C150)</f>
        <v>0</v>
      </c>
      <c r="H150" s="243">
        <f>COUNTIF(LE!$C$4:$C$214,C150)</f>
        <v>0</v>
      </c>
      <c r="I150" s="289">
        <f>COUNTIF(LN!$C$4:$C$53,C150)</f>
        <v>0</v>
      </c>
      <c r="J150" s="289">
        <f>COUNTIF(LCE!$C$3:$C$43,C150)</f>
        <v>0</v>
      </c>
      <c r="K150" s="289">
        <f>COUNTIF(LI!$C$4:$C$60,C150)</f>
        <v>0</v>
      </c>
      <c r="L150" s="289">
        <f>COUNTIF(LAP!$C$5:$C$45,C150)</f>
        <v>0</v>
      </c>
      <c r="M150" s="289">
        <f>COUNTIF(LGDM!$C$4:$C$22,C150)</f>
        <v>0</v>
      </c>
      <c r="N150" s="289">
        <f>COUNTIF(LAM!$C$5:$C$21,C150)</f>
        <v>0</v>
      </c>
      <c r="O150" s="243">
        <f>COUNTIF(DEP!$C$3:$C$61,C150)</f>
        <v>2</v>
      </c>
      <c r="P150" s="291">
        <f>SUMIF(LCB!$C$4:$C$45,C150,LCB!$F$4:$F$45)+SUMIF(LM!$C$4:$C$140,C150,LM!$F$4:$F$140)+SUMIF(LO!$C$4:$C$230,C150,LO!$F$4:$F$230)+SUMIF(LE!$C$4:$C$200,C150,LE!$F$4:$F$200)+SUMIF(LN!$C$4:$C$48,C150,LN!$F$4:$F$48)+SUMIF(LCE!$C$4:$C$40,C150,LCE!$F$4:$F$40)+SUMIF(LI!$C$4:$C$55,C150,LI!$F$4:$F$55)+SUMIF(LAP!$C$4:$C$45,C150,LAP!$F$4:$F$45)+SUMIF(LGDM!$C$4:$C$22,C150,LGDM!$F$4:$F$22)+SUMIF(LAM!$C$4:$C$18,C150,LAM!$F$4:$F$18)+SUMIF(DEP!$C$4:$C$55,C150,DEP!$F$4:$F$55)</f>
        <v>0</v>
      </c>
      <c r="Q150" s="243">
        <f>SUMIF(LCB!$C$4:$C$45,C150,LCB!$E$4:$E$45)+SUMIF(LM!$C$4:$C$140,C150,LM!$E$4:$E$140)+SUMIF(LO!$C$4:$C$230,C150,LO!$E$4:$E$230)+SUMIF(LE!$C$4:$C$200,C150,LE!$E$4:$E$200)+SUMIF(LN!$C$4:$C$48,C150,LN!$E$4:$E$48)+SUMIF(LCE!$C$4:$C$40,C150,LCE!$E$4:$E$40)+SUMIF(LI!$C$4:$C$55,C150,LI!$E$4:$E$55)+SUMIF(LAP!$C$4:$C$45,C150,LAP!$E$4:$E$45)+SUMIF(LGDM!$C$4:$C$15,C150,LGDM!$E$4:$E$15)+SUMIF(LAM!$C$5:$C$18,C150,LAM!$E$5:$E$18)+SUMIF(DEP!$C$4:$C$55,C150,DEP!$E$4:$E$55)</f>
        <v>12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ht="13.5" customHeight="1">
      <c r="A151" s="9"/>
      <c r="B151" s="240">
        <v>6.0</v>
      </c>
      <c r="C151" s="38" t="s">
        <v>494</v>
      </c>
      <c r="D151" s="288">
        <f t="shared" si="7"/>
        <v>2</v>
      </c>
      <c r="E151" s="243">
        <f>COUNTIF(LCB!$C$4:$C$40,C151)</f>
        <v>0</v>
      </c>
      <c r="F151" s="243">
        <f>COUNTIF(LM!$C$4:$C$144,C151)</f>
        <v>0</v>
      </c>
      <c r="G151" s="243">
        <f>COUNTIF(LO!$C$4:$C$227,C151)</f>
        <v>0</v>
      </c>
      <c r="H151" s="243">
        <f>COUNTIF(LE!$C$4:$C$214,C151)</f>
        <v>0</v>
      </c>
      <c r="I151" s="289">
        <f>COUNTIF(LN!$C$4:$C$53,C151)</f>
        <v>0</v>
      </c>
      <c r="J151" s="289">
        <f>COUNTIF(LCE!$C$3:$C$43,C151)</f>
        <v>0</v>
      </c>
      <c r="K151" s="289">
        <f>COUNTIF(LI!$C$4:$C$60,C151)</f>
        <v>2</v>
      </c>
      <c r="L151" s="289">
        <f>COUNTIF(LAP!$C$5:$C$45,C151)</f>
        <v>0</v>
      </c>
      <c r="M151" s="289">
        <f>COUNTIF(LGDM!$C$4:$C$22,C151)</f>
        <v>0</v>
      </c>
      <c r="N151" s="289">
        <f>COUNTIF(LAM!$C$5:$C$21,C151)</f>
        <v>0</v>
      </c>
      <c r="O151" s="243">
        <f>COUNTIF(DEP!$C$3:$C$61,C151)</f>
        <v>0</v>
      </c>
      <c r="P151" s="291">
        <f>SUMIF(LCB!$C$4:$C$45,C151,LCB!$F$4:$F$45)+SUMIF(LM!$C$4:$C$140,C151,LM!$F$4:$F$140)+SUMIF(LO!$C$4:$C$230,C151,LO!$F$4:$F$230)+SUMIF(LE!$C$4:$C$200,C151,LE!$F$4:$F$200)+SUMIF(LN!$C$4:$C$48,C151,LN!$F$4:$F$48)+SUMIF(LCE!$C$4:$C$40,C151,LCE!$F$4:$F$40)+SUMIF(LI!$C$4:$C$55,C151,LI!$F$4:$F$55)+SUMIF(LAP!$C$4:$C$45,C151,LAP!$F$4:$F$45)+SUMIF(LGDM!$C$4:$C$22,C151,LGDM!$F$4:$F$22)+SUMIF(LAM!$C$4:$C$18,C151,LAM!$F$4:$F$18)+SUMIF(DEP!$C$4:$C$55,C151,DEP!$F$4:$F$55)</f>
        <v>40</v>
      </c>
      <c r="Q151" s="243">
        <f>SUMIF(LCB!$C$4:$C$45,C151,LCB!$E$4:$E$45)+SUMIF(LM!$C$4:$C$140,C151,LM!$E$4:$E$140)+SUMIF(LO!$C$4:$C$230,C151,LO!$E$4:$E$230)+SUMIF(LE!$C$4:$C$200,C151,LE!$E$4:$E$200)+SUMIF(LN!$C$4:$C$48,C151,LN!$E$4:$E$48)+SUMIF(LCE!$C$4:$C$40,C151,LCE!$E$4:$E$40)+SUMIF(LI!$C$4:$C$55,C151,LI!$E$4:$E$55)+SUMIF(LAP!$C$4:$C$45,C151,LAP!$E$4:$E$45)+SUMIF(LGDM!$C$4:$C$15,C151,LGDM!$E$4:$E$15)+SUMIF(LAM!$C$5:$C$18,C151,LAM!$E$5:$E$18)+SUMIF(DEP!$C$4:$C$55,C151,DEP!$E$4:$E$55)</f>
        <v>10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ht="13.5" customHeight="1">
      <c r="A152" s="9"/>
      <c r="B152" s="240">
        <v>7.0</v>
      </c>
      <c r="C152" s="249" t="s">
        <v>467</v>
      </c>
      <c r="D152" s="288">
        <f t="shared" si="7"/>
        <v>3</v>
      </c>
      <c r="E152" s="243">
        <f>COUNTIF(LCB!$C$4:$C$40,C152)</f>
        <v>0</v>
      </c>
      <c r="F152" s="243">
        <f>COUNTIF(LM!$C$4:$C$144,C152)</f>
        <v>0</v>
      </c>
      <c r="G152" s="243">
        <f>COUNTIF(LO!$C$4:$C$227,C152)</f>
        <v>0</v>
      </c>
      <c r="H152" s="243">
        <f>COUNTIF(LE!$C$4:$C$214,C152)</f>
        <v>0</v>
      </c>
      <c r="I152" s="289">
        <f>COUNTIF(LN!$C$4:$C$53,C152)</f>
        <v>0</v>
      </c>
      <c r="J152" s="289">
        <f>COUNTIF(LCE!$C$3:$C$43,C152)</f>
        <v>0</v>
      </c>
      <c r="K152" s="289">
        <f>COUNTIF(LI!$C$4:$C$60,C152)</f>
        <v>3</v>
      </c>
      <c r="L152" s="289">
        <f>COUNTIF(LAP!$C$5:$C$45,C152)</f>
        <v>0</v>
      </c>
      <c r="M152" s="289">
        <f>COUNTIF(LGDM!$C$4:$C$22,C152)</f>
        <v>0</v>
      </c>
      <c r="N152" s="289">
        <f>COUNTIF(LAM!$C$5:$C$21,C152)</f>
        <v>0</v>
      </c>
      <c r="O152" s="243">
        <f>COUNTIF(DEP!$C$3:$C$61,C152)</f>
        <v>0</v>
      </c>
      <c r="P152" s="291">
        <f>SUMIF(LCB!$C$4:$C$45,C152,LCB!$F$4:$F$45)+SUMIF(LM!$C$4:$C$140,C152,LM!$F$4:$F$140)+SUMIF(LO!$C$4:$C$230,C152,LO!$F$4:$F$230)+SUMIF(LE!$C$4:$C$200,C152,LE!$F$4:$F$200)+SUMIF(LN!$C$4:$C$48,C152,LN!$F$4:$F$48)+SUMIF(LCE!$C$4:$C$40,C152,LCE!$F$4:$F$40)+SUMIF(LI!$C$4:$C$55,C152,LI!$F$4:$F$55)+SUMIF(LAP!$C$4:$C$45,C152,LAP!$F$4:$F$45)+SUMIF(LGDM!$C$4:$C$22,C152,LGDM!$F$4:$F$22)+SUMIF(LAM!$C$4:$C$18,C152,LAM!$F$4:$F$18)+SUMIF(DEP!$C$4:$C$55,C152,DEP!$F$4:$F$55)</f>
        <v>67</v>
      </c>
      <c r="Q152" s="243">
        <f>SUMIF(LCB!$C$4:$C$45,C152,LCB!$E$4:$E$45)+SUMIF(LM!$C$4:$C$140,C152,LM!$E$4:$E$140)+SUMIF(LO!$C$4:$C$230,C152,LO!$E$4:$E$230)+SUMIF(LE!$C$4:$C$200,C152,LE!$E$4:$E$200)+SUMIF(LN!$C$4:$C$48,C152,LN!$E$4:$E$48)+SUMIF(LCE!$C$4:$C$40,C152,LCE!$E$4:$E$40)+SUMIF(LI!$C$4:$C$55,C152,LI!$E$4:$E$55)+SUMIF(LAP!$C$4:$C$45,C152,LAP!$E$4:$E$45)+SUMIF(LGDM!$C$4:$C$15,C152,LGDM!$E$4:$E$15)+SUMIF(LAM!$C$5:$C$18,C152,LAM!$E$5:$E$18)+SUMIF(DEP!$C$4:$C$55,C152,DEP!$E$4:$E$55)</f>
        <v>15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ht="13.5" customHeight="1">
      <c r="A153" s="9"/>
      <c r="B153" s="240">
        <v>8.0</v>
      </c>
      <c r="C153" s="38" t="s">
        <v>90</v>
      </c>
      <c r="D153" s="288">
        <f t="shared" si="7"/>
        <v>3</v>
      </c>
      <c r="E153" s="243">
        <f>COUNTIF(LCB!$C$4:$C$40,C153)</f>
        <v>0</v>
      </c>
      <c r="F153" s="243">
        <f>COUNTIF(LM!$C$4:$C$144,C153)</f>
        <v>0</v>
      </c>
      <c r="G153" s="243">
        <f>COUNTIF(LO!$C$4:$C$227,C153)</f>
        <v>0</v>
      </c>
      <c r="H153" s="243">
        <f>COUNTIF(LE!$C$4:$C$214,C153)</f>
        <v>2</v>
      </c>
      <c r="I153" s="289">
        <f>COUNTIF(LN!$C$4:$C$53,C153)</f>
        <v>0</v>
      </c>
      <c r="J153" s="289">
        <f>COUNTIF(LCE!$C$3:$C$43,C153)</f>
        <v>0</v>
      </c>
      <c r="K153" s="289">
        <f>COUNTIF(LI!$C$4:$C$60,C153)</f>
        <v>1</v>
      </c>
      <c r="L153" s="289">
        <f>COUNTIF(LAP!$C$5:$C$45,C153)</f>
        <v>0</v>
      </c>
      <c r="M153" s="289">
        <f>COUNTIF(LGDM!$C$4:$C$22,C153)</f>
        <v>0</v>
      </c>
      <c r="N153" s="289">
        <f>COUNTIF(LAM!$C$5:$C$21,C153)</f>
        <v>0</v>
      </c>
      <c r="O153" s="243">
        <f>COUNTIF(DEP!$C$3:$C$61,C153)</f>
        <v>0</v>
      </c>
      <c r="P153" s="291">
        <f>SUMIF(LCB!$C$4:$C$45,C153,LCB!$F$4:$F$45)+SUMIF(LM!$C$4:$C$140,C153,LM!$F$4:$F$140)+SUMIF(LO!$C$4:$C$230,C153,LO!$F$4:$F$230)+SUMIF(LE!$C$4:$C$200,C153,LE!$F$4:$F$200)+SUMIF(LN!$C$4:$C$48,C153,LN!$F$4:$F$48)+SUMIF(LCE!$C$4:$C$40,C153,LCE!$F$4:$F$40)+SUMIF(LI!$C$4:$C$55,C153,LI!$F$4:$F$55)+SUMIF(LAP!$C$4:$C$45,C153,LAP!$F$4:$F$45)+SUMIF(LGDM!$C$4:$C$22,C153,LGDM!$F$4:$F$22)+SUMIF(LAM!$C$4:$C$18,C153,LAM!$F$4:$F$18)+SUMIF(DEP!$C$4:$C$55,C153,DEP!$F$4:$F$55)</f>
        <v>56</v>
      </c>
      <c r="Q153" s="243">
        <f>SUMIF(LCB!$C$4:$C$45,C153,LCB!$E$4:$E$45)+SUMIF(LM!$C$4:$C$140,C153,LM!$E$4:$E$140)+SUMIF(LO!$C$4:$C$230,C153,LO!$E$4:$E$230)+SUMIF(LE!$C$4:$C$200,C153,LE!$E$4:$E$200)+SUMIF(LN!$C$4:$C$48,C153,LN!$E$4:$E$48)+SUMIF(LCE!$C$4:$C$40,C153,LCE!$E$4:$E$40)+SUMIF(LI!$C$4:$C$55,C153,LI!$E$4:$E$55)+SUMIF(LAP!$C$4:$C$45,C153,LAP!$E$4:$E$45)+SUMIF(LGDM!$C$4:$C$15,C153,LGDM!$E$4:$E$15)+SUMIF(LAM!$C$5:$C$18,C153,LAM!$E$5:$E$18)+SUMIF(DEP!$C$4:$C$55,C153,DEP!$E$4:$E$55)</f>
        <v>14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ht="13.5" customHeight="1">
      <c r="A154" s="9"/>
      <c r="B154" s="240">
        <v>9.0</v>
      </c>
      <c r="C154" s="38" t="s">
        <v>295</v>
      </c>
      <c r="D154" s="288">
        <f t="shared" si="7"/>
        <v>3</v>
      </c>
      <c r="E154" s="243">
        <f>COUNTIF(LCB!$C$4:$C$40,C154)</f>
        <v>0</v>
      </c>
      <c r="F154" s="243">
        <f>COUNTIF(LM!$C$4:$C$144,C154)</f>
        <v>0</v>
      </c>
      <c r="G154" s="243">
        <f>COUNTIF(LO!$C$4:$C$227,C154)</f>
        <v>1</v>
      </c>
      <c r="H154" s="243">
        <f>COUNTIF(LE!$C$4:$C$214,C154)</f>
        <v>0</v>
      </c>
      <c r="I154" s="289">
        <f>COUNTIF(LN!$C$4:$C$53,C154)</f>
        <v>0</v>
      </c>
      <c r="J154" s="289">
        <f>COUNTIF(LCE!$C$3:$C$43,C154)</f>
        <v>0</v>
      </c>
      <c r="K154" s="289">
        <f>COUNTIF(LI!$C$4:$C$60,C154)</f>
        <v>0</v>
      </c>
      <c r="L154" s="289">
        <f>COUNTIF(LAP!$C$5:$C$45,C154)</f>
        <v>0</v>
      </c>
      <c r="M154" s="289">
        <f>COUNTIF(LGDM!$C$4:$C$22,C154)</f>
        <v>0</v>
      </c>
      <c r="N154" s="289">
        <f>COUNTIF(LAM!$C$5:$C$21,C154)</f>
        <v>0</v>
      </c>
      <c r="O154" s="243">
        <f>COUNTIF(DEP!$C$3:$C$61,C154)</f>
        <v>2</v>
      </c>
      <c r="P154" s="291">
        <f>SUMIF(LCB!$C$4:$C$45,C154,LCB!$F$4:$F$45)+SUMIF(LM!$C$4:$C$140,C154,LM!$F$4:$F$140)+SUMIF(LO!$C$4:$C$230,C154,LO!$F$4:$F$230)+SUMIF(LE!$C$4:$C$200,C154,LE!$F$4:$F$200)+SUMIF(LN!$C$4:$C$48,C154,LN!$F$4:$F$48)+SUMIF(LCE!$C$4:$C$40,C154,LCE!$F$4:$F$40)+SUMIF(LI!$C$4:$C$55,C154,LI!$F$4:$F$55)+SUMIF(LAP!$C$4:$C$45,C154,LAP!$F$4:$F$45)+SUMIF(LGDM!$C$4:$C$22,C154,LGDM!$F$4:$F$22)+SUMIF(LAM!$C$4:$C$18,C154,LAM!$F$4:$F$18)+SUMIF(DEP!$C$4:$C$55,C154,DEP!$F$4:$F$55)</f>
        <v>32</v>
      </c>
      <c r="Q154" s="243">
        <f>SUMIF(LCB!$C$4:$C$45,C154,LCB!$E$4:$E$45)+SUMIF(LM!$C$4:$C$140,C154,LM!$E$4:$E$140)+SUMIF(LO!$C$4:$C$230,C154,LO!$E$4:$E$230)+SUMIF(LE!$C$4:$C$200,C154,LE!$E$4:$E$200)+SUMIF(LN!$C$4:$C$48,C154,LN!$E$4:$E$48)+SUMIF(LCE!$C$4:$C$40,C154,LCE!$E$4:$E$40)+SUMIF(LI!$C$4:$C$55,C154,LI!$E$4:$E$55)+SUMIF(LAP!$C$4:$C$45,C154,LAP!$E$4:$E$45)+SUMIF(LGDM!$C$4:$C$15,C154,LGDM!$E$4:$E$15)+SUMIF(LAM!$C$5:$C$18,C154,LAM!$E$5:$E$18)+SUMIF(DEP!$C$4:$C$55,C154,DEP!$E$4:$E$55)</f>
        <v>13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ht="13.5" customHeight="1">
      <c r="A155" s="9"/>
      <c r="B155" s="240">
        <v>10.0</v>
      </c>
      <c r="C155" s="38" t="s">
        <v>300</v>
      </c>
      <c r="D155" s="288">
        <f t="shared" si="7"/>
        <v>3</v>
      </c>
      <c r="E155" s="243">
        <f>COUNTIF(LCB!$C$4:$C$40,C155)</f>
        <v>0</v>
      </c>
      <c r="F155" s="243">
        <f>COUNTIF(LM!$C$4:$C$144,C155)</f>
        <v>0</v>
      </c>
      <c r="G155" s="243">
        <f>COUNTIF(LO!$C$4:$C$227,C155)</f>
        <v>0</v>
      </c>
      <c r="H155" s="243">
        <f>COUNTIF(LE!$C$4:$C$214,C155)</f>
        <v>1</v>
      </c>
      <c r="I155" s="289">
        <f>COUNTIF(LN!$C$4:$C$53,C155)</f>
        <v>1</v>
      </c>
      <c r="J155" s="289">
        <f>COUNTIF(LCE!$C$3:$C$43,C155)</f>
        <v>0</v>
      </c>
      <c r="K155" s="289">
        <f>COUNTIF(LI!$C$4:$C$60,C155)</f>
        <v>1</v>
      </c>
      <c r="L155" s="289">
        <f>COUNTIF(LAP!$C$5:$C$45,C155)</f>
        <v>0</v>
      </c>
      <c r="M155" s="289">
        <f>COUNTIF(LGDM!$C$4:$C$22,C155)</f>
        <v>0</v>
      </c>
      <c r="N155" s="289">
        <f>COUNTIF(LAM!$C$5:$C$21,C155)</f>
        <v>0</v>
      </c>
      <c r="O155" s="243">
        <f>COUNTIF(DEP!$C$3:$C$61,C155)</f>
        <v>0</v>
      </c>
      <c r="P155" s="291">
        <f>SUMIF(LCB!$C$4:$C$45,C155,LCB!$F$4:$F$45)+SUMIF(LM!$C$4:$C$140,C155,LM!$F$4:$F$140)+SUMIF(LO!$C$4:$C$230,C155,LO!$F$4:$F$230)+SUMIF(LE!$C$4:$C$200,C155,LE!$F$4:$F$200)+SUMIF(LN!$C$4:$C$48,C155,LN!$F$4:$F$48)+SUMIF(LCE!$C$4:$C$40,C155,LCE!$F$4:$F$40)+SUMIF(LI!$C$4:$C$55,C155,LI!$F$4:$F$55)+SUMIF(LAP!$C$4:$C$45,C155,LAP!$F$4:$F$45)+SUMIF(LGDM!$C$4:$C$22,C155,LGDM!$F$4:$F$22)+SUMIF(LAM!$C$4:$C$18,C155,LAM!$F$4:$F$18)+SUMIF(DEP!$C$4:$C$55,C155,DEP!$F$4:$F$55)</f>
        <v>83</v>
      </c>
      <c r="Q155" s="243">
        <f>SUMIF(LCB!$C$4:$C$45,C155,LCB!$E$4:$E$45)+SUMIF(LM!$C$4:$C$140,C155,LM!$E$4:$E$140)+SUMIF(LO!$C$4:$C$230,C155,LO!$E$4:$E$230)+SUMIF(LE!$C$4:$C$200,C155,LE!$E$4:$E$200)+SUMIF(LN!$C$4:$C$48,C155,LN!$E$4:$E$48)+SUMIF(LCE!$C$4:$C$40,C155,LCE!$E$4:$E$40)+SUMIF(LI!$C$4:$C$55,C155,LI!$E$4:$E$55)+SUMIF(LAP!$C$4:$C$45,C155,LAP!$E$4:$E$45)+SUMIF(LGDM!$C$4:$C$15,C155,LGDM!$E$4:$E$15)+SUMIF(LAM!$C$5:$C$18,C155,LAM!$E$5:$E$18)+SUMIF(DEP!$C$4:$C$55,C155,DEP!$E$4:$E$55)</f>
        <v>15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ht="13.5" customHeight="1">
      <c r="A156" s="9"/>
      <c r="B156" s="240">
        <v>11.0</v>
      </c>
      <c r="C156" s="40" t="s">
        <v>76</v>
      </c>
      <c r="D156" s="288">
        <f t="shared" si="7"/>
        <v>3</v>
      </c>
      <c r="E156" s="243">
        <f>COUNTIF(LCB!$C$4:$C$40,C156)</f>
        <v>1</v>
      </c>
      <c r="F156" s="243">
        <f>COUNTIF(LM!$C$4:$C$144,C156)</f>
        <v>0</v>
      </c>
      <c r="G156" s="243">
        <f>COUNTIF(LO!$C$4:$C$227,C156)</f>
        <v>0</v>
      </c>
      <c r="H156" s="243">
        <f>COUNTIF(LE!$C$4:$C$214,C156)</f>
        <v>1</v>
      </c>
      <c r="I156" s="289">
        <f>COUNTIF(LN!$C$4:$C$53,C156)</f>
        <v>0</v>
      </c>
      <c r="J156" s="289">
        <f>COUNTIF(LCE!$C$3:$C$43,C156)</f>
        <v>0</v>
      </c>
      <c r="K156" s="289">
        <f>COUNTIF(LI!$C$4:$C$60,C156)</f>
        <v>1</v>
      </c>
      <c r="L156" s="289">
        <f>COUNTIF(LAP!$C$5:$C$45,C156)</f>
        <v>0</v>
      </c>
      <c r="M156" s="289">
        <f>COUNTIF(LGDM!$C$4:$C$22,C156)</f>
        <v>0</v>
      </c>
      <c r="N156" s="289">
        <f>COUNTIF(LAM!$C$5:$C$21,C156)</f>
        <v>0</v>
      </c>
      <c r="O156" s="243">
        <f>COUNTIF(DEP!$C$3:$C$61,C156)</f>
        <v>0</v>
      </c>
      <c r="P156" s="291">
        <f>SUMIF(LCB!$C$4:$C$45,C156,LCB!$F$4:$F$45)+SUMIF(LM!$C$4:$C$140,C156,LM!$F$4:$F$140)+SUMIF(LO!$C$4:$C$230,C156,LO!$F$4:$F$230)+SUMIF(LE!$C$4:$C$200,C156,LE!$F$4:$F$200)+SUMIF(LN!$C$4:$C$48,C156,LN!$F$4:$F$48)+SUMIF(LCE!$C$4:$C$40,C156,LCE!$F$4:$F$40)+SUMIF(LI!$C$4:$C$55,C156,LI!$F$4:$F$55)+SUMIF(LAP!$C$4:$C$45,C156,LAP!$F$4:$F$45)+SUMIF(LGDM!$C$4:$C$22,C156,LGDM!$F$4:$F$22)+SUMIF(LAM!$C$4:$C$18,C156,LAM!$F$4:$F$18)+SUMIF(DEP!$C$4:$C$55,C156,DEP!$F$4:$F$55)</f>
        <v>59</v>
      </c>
      <c r="Q156" s="243">
        <f>SUMIF(LCB!$C$4:$C$45,C156,LCB!$E$4:$E$45)+SUMIF(LM!$C$4:$C$140,C156,LM!$E$4:$E$140)+SUMIF(LO!$C$4:$C$230,C156,LO!$E$4:$E$230)+SUMIF(LE!$C$4:$C$200,C156,LE!$E$4:$E$200)+SUMIF(LN!$C$4:$C$48,C156,LN!$E$4:$E$48)+SUMIF(LCE!$C$4:$C$40,C156,LCE!$E$4:$E$40)+SUMIF(LI!$C$4:$C$55,C156,LI!$E$4:$E$55)+SUMIF(LAP!$C$4:$C$45,C156,LAP!$E$4:$E$45)+SUMIF(LGDM!$C$4:$C$15,C156,LGDM!$E$4:$E$15)+SUMIF(LAM!$C$5:$C$18,C156,LAM!$E$5:$E$18)+SUMIF(DEP!$C$4:$C$55,C156,DEP!$E$4:$E$55)</f>
        <v>16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ht="13.5" customHeight="1">
      <c r="A157" s="9"/>
      <c r="B157" s="240">
        <v>12.0</v>
      </c>
      <c r="C157" s="40" t="s">
        <v>380</v>
      </c>
      <c r="D157" s="288">
        <f t="shared" si="7"/>
        <v>3</v>
      </c>
      <c r="E157" s="243">
        <f>COUNTIF(LCB!$C$4:$C$40,C157)</f>
        <v>0</v>
      </c>
      <c r="F157" s="243">
        <f>COUNTIF(LM!$C$4:$C$144,C157)</f>
        <v>0</v>
      </c>
      <c r="G157" s="243">
        <f>COUNTIF(LO!$C$4:$C$227,C157)</f>
        <v>0</v>
      </c>
      <c r="H157" s="243">
        <f>COUNTIF(LE!$C$4:$C$214,C157)</f>
        <v>0</v>
      </c>
      <c r="I157" s="289">
        <f>COUNTIF(LN!$C$4:$C$53,C157)</f>
        <v>0</v>
      </c>
      <c r="J157" s="289">
        <f>COUNTIF(LCE!$C$3:$C$43,C157)</f>
        <v>1</v>
      </c>
      <c r="K157" s="289">
        <f>COUNTIF(LI!$C$4:$C$60,C157)</f>
        <v>2</v>
      </c>
      <c r="L157" s="289">
        <f>COUNTIF(LAP!$C$5:$C$45,C157)</f>
        <v>0</v>
      </c>
      <c r="M157" s="289">
        <f>COUNTIF(LGDM!$C$4:$C$22,C157)</f>
        <v>0</v>
      </c>
      <c r="N157" s="289">
        <f>COUNTIF(LAM!$C$5:$C$21,C157)</f>
        <v>0</v>
      </c>
      <c r="O157" s="243">
        <f>COUNTIF(DEP!$C$3:$C$61,C157)</f>
        <v>0</v>
      </c>
      <c r="P157" s="291">
        <f>SUMIF(LCB!$C$4:$C$45,C157,LCB!$F$4:$F$45)+SUMIF(LM!$C$4:$C$140,C157,LM!$F$4:$F$140)+SUMIF(LO!$C$4:$C$230,C157,LO!$F$4:$F$230)+SUMIF(LE!$C$4:$C$200,C157,LE!$F$4:$F$200)+SUMIF(LN!$C$4:$C$48,C157,LN!$F$4:$F$48)+SUMIF(LCE!$C$4:$C$40,C157,LCE!$F$4:$F$40)+SUMIF(LI!$C$4:$C$55,C157,LI!$F$4:$F$55)+SUMIF(LAP!$C$4:$C$45,C157,LAP!$F$4:$F$45)+SUMIF(LGDM!$C$4:$C$22,C157,LGDM!$F$4:$F$22)+SUMIF(LAM!$C$4:$C$18,C157,LAM!$F$4:$F$18)+SUMIF(DEP!$C$4:$C$55,C157,DEP!$F$4:$F$55)</f>
        <v>63</v>
      </c>
      <c r="Q157" s="243">
        <f>SUMIF(LCB!$C$4:$C$45,C157,LCB!$E$4:$E$45)+SUMIF(LM!$C$4:$C$140,C157,LM!$E$4:$E$140)+SUMIF(LO!$C$4:$C$230,C157,LO!$E$4:$E$230)+SUMIF(LE!$C$4:$C$200,C157,LE!$E$4:$E$200)+SUMIF(LN!$C$4:$C$48,C157,LN!$E$4:$E$48)+SUMIF(LCE!$C$4:$C$40,C157,LCE!$E$4:$E$40)+SUMIF(LI!$C$4:$C$55,C157,LI!$E$4:$E$55)+SUMIF(LAP!$C$4:$C$45,C157,LAP!$E$4:$E$45)+SUMIF(LGDM!$C$4:$C$15,C157,LGDM!$E$4:$E$15)+SUMIF(LAM!$C$5:$C$18,C157,LAM!$E$5:$E$18)+SUMIF(DEP!$C$4:$C$55,C157,DEP!$E$4:$E$55)</f>
        <v>15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ht="13.5" customHeight="1">
      <c r="A158" s="9"/>
      <c r="B158" s="240">
        <v>13.0</v>
      </c>
      <c r="C158" s="38" t="s">
        <v>507</v>
      </c>
      <c r="D158" s="288">
        <f t="shared" si="7"/>
        <v>3</v>
      </c>
      <c r="E158" s="243">
        <f>COUNTIF(LCB!$C$4:$C$40,C158)</f>
        <v>0</v>
      </c>
      <c r="F158" s="243">
        <f>COUNTIF(LM!$C$4:$C$144,C158)</f>
        <v>0</v>
      </c>
      <c r="G158" s="243">
        <f>COUNTIF(LO!$C$4:$C$227,C158)</f>
        <v>0</v>
      </c>
      <c r="H158" s="243">
        <f>COUNTIF(LE!$C$4:$C$214,C158)</f>
        <v>0</v>
      </c>
      <c r="I158" s="289">
        <f>COUNTIF(LN!$C$4:$C$53,C158)</f>
        <v>0</v>
      </c>
      <c r="J158" s="289">
        <f>COUNTIF(LCE!$C$3:$C$43,C158)</f>
        <v>0</v>
      </c>
      <c r="K158" s="289">
        <f>COUNTIF(LI!$C$4:$C$60,C158)</f>
        <v>2</v>
      </c>
      <c r="L158" s="289">
        <f>COUNTIF(LAP!$C$5:$C$45,C158)</f>
        <v>0</v>
      </c>
      <c r="M158" s="289">
        <f>COUNTIF(LGDM!$C$4:$C$22,C158)</f>
        <v>0</v>
      </c>
      <c r="N158" s="289">
        <f>COUNTIF(LAM!$C$5:$C$21,C158)</f>
        <v>0</v>
      </c>
      <c r="O158" s="243">
        <f>COUNTIF(DEP!$C$3:$C$61,C158)</f>
        <v>1</v>
      </c>
      <c r="P158" s="291">
        <f>SUMIF(LCB!$C$4:$C$45,C158,LCB!$F$4:$F$45)+SUMIF(LM!$C$4:$C$140,C158,LM!$F$4:$F$140)+SUMIF(LO!$C$4:$C$230,C158,LO!$F$4:$F$230)+SUMIF(LE!$C$4:$C$200,C158,LE!$F$4:$F$200)+SUMIF(LN!$C$4:$C$48,C158,LN!$F$4:$F$48)+SUMIF(LCE!$C$4:$C$40,C158,LCE!$F$4:$F$40)+SUMIF(LI!$C$4:$C$55,C158,LI!$F$4:$F$55)+SUMIF(LAP!$C$4:$C$45,C158,LAP!$F$4:$F$45)+SUMIF(LGDM!$C$4:$C$22,C158,LGDM!$F$4:$F$22)+SUMIF(LAM!$C$4:$C$18,C158,LAM!$F$4:$F$18)+SUMIF(DEP!$C$4:$C$55,C158,DEP!$F$4:$F$55)</f>
        <v>35</v>
      </c>
      <c r="Q158" s="243">
        <f>SUMIF(LCB!$C$4:$C$45,C158,LCB!$E$4:$E$45)+SUMIF(LM!$C$4:$C$140,C158,LM!$E$4:$E$140)+SUMIF(LO!$C$4:$C$230,C158,LO!$E$4:$E$230)+SUMIF(LE!$C$4:$C$200,C158,LE!$E$4:$E$200)+SUMIF(LN!$C$4:$C$48,C158,LN!$E$4:$E$48)+SUMIF(LCE!$C$4:$C$40,C158,LCE!$E$4:$E$40)+SUMIF(LI!$C$4:$C$55,C158,LI!$E$4:$E$55)+SUMIF(LAP!$C$4:$C$45,C158,LAP!$E$4:$E$45)+SUMIF(LGDM!$C$4:$C$15,C158,LGDM!$E$4:$E$15)+SUMIF(LAM!$C$5:$C$18,C158,LAM!$E$5:$E$18)+SUMIF(DEP!$C$4:$C$55,C158,DEP!$E$4:$E$55)</f>
        <v>14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ht="13.5" customHeight="1">
      <c r="A159" s="9"/>
      <c r="B159" s="240">
        <v>14.0</v>
      </c>
      <c r="C159" s="38" t="s">
        <v>79</v>
      </c>
      <c r="D159" s="288">
        <f t="shared" si="7"/>
        <v>3</v>
      </c>
      <c r="E159" s="243">
        <f>COUNTIF(LCB!$C$4:$C$40,C159)</f>
        <v>1</v>
      </c>
      <c r="F159" s="243">
        <f>COUNTIF(LM!$C$4:$C$144,C159)</f>
        <v>0</v>
      </c>
      <c r="G159" s="243">
        <f>COUNTIF(LO!$C$4:$C$227,C159)</f>
        <v>0</v>
      </c>
      <c r="H159" s="243">
        <f>COUNTIF(LE!$C$4:$C$214,C159)</f>
        <v>1</v>
      </c>
      <c r="I159" s="289">
        <f>COUNTIF(LN!$C$4:$C$53,C159)</f>
        <v>0</v>
      </c>
      <c r="J159" s="289">
        <f>COUNTIF(LCE!$C$3:$C$43,C159)</f>
        <v>0</v>
      </c>
      <c r="K159" s="289">
        <f>COUNTIF(LI!$C$4:$C$60,C159)</f>
        <v>1</v>
      </c>
      <c r="L159" s="289">
        <f>COUNTIF(LAP!$C$5:$C$45,C159)</f>
        <v>0</v>
      </c>
      <c r="M159" s="289">
        <f>COUNTIF(LGDM!$C$4:$C$22,C159)</f>
        <v>0</v>
      </c>
      <c r="N159" s="289">
        <f>COUNTIF(LAM!$C$5:$C$21,C159)</f>
        <v>0</v>
      </c>
      <c r="O159" s="243">
        <f>COUNTIF(DEP!$C$3:$C$61,C159)</f>
        <v>0</v>
      </c>
      <c r="P159" s="291">
        <f>SUMIF(LCB!$C$4:$C$45,C159,LCB!$F$4:$F$45)+SUMIF(LM!$C$4:$C$140,C159,LM!$F$4:$F$140)+SUMIF(LO!$C$4:$C$230,C159,LO!$F$4:$F$230)+SUMIF(LE!$C$4:$C$200,C159,LE!$F$4:$F$200)+SUMIF(LN!$C$4:$C$48,C159,LN!$F$4:$F$48)+SUMIF(LCE!$C$4:$C$40,C159,LCE!$F$4:$F$40)+SUMIF(LI!$C$4:$C$55,C159,LI!$F$4:$F$55)+SUMIF(LAP!$C$4:$C$45,C159,LAP!$F$4:$F$45)+SUMIF(LGDM!$C$4:$C$22,C159,LGDM!$F$4:$F$22)+SUMIF(LAM!$C$4:$C$18,C159,LAM!$F$4:$F$18)+SUMIF(DEP!$C$4:$C$55,C159,DEP!$F$4:$F$55)</f>
        <v>16</v>
      </c>
      <c r="Q159" s="243">
        <f>SUMIF(LCB!$C$4:$C$45,C159,LCB!$E$4:$E$45)+SUMIF(LM!$C$4:$C$140,C159,LM!$E$4:$E$140)+SUMIF(LO!$C$4:$C$230,C159,LO!$E$4:$E$230)+SUMIF(LE!$C$4:$C$200,C159,LE!$E$4:$E$200)+SUMIF(LN!$C$4:$C$48,C159,LN!$E$4:$E$48)+SUMIF(LCE!$C$4:$C$40,C159,LCE!$E$4:$E$40)+SUMIF(LI!$C$4:$C$55,C159,LI!$E$4:$E$55)+SUMIF(LAP!$C$4:$C$45,C159,LAP!$E$4:$E$45)+SUMIF(LGDM!$C$4:$C$15,C159,LGDM!$E$4:$E$15)+SUMIF(LAM!$C$5:$C$18,C159,LAM!$E$5:$E$18)+SUMIF(DEP!$C$4:$C$55,C159,DEP!$E$4:$E$55)</f>
        <v>13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ht="13.5" customHeight="1">
      <c r="A160" s="9"/>
      <c r="B160" s="240">
        <v>15.0</v>
      </c>
      <c r="C160" s="267" t="s">
        <v>470</v>
      </c>
      <c r="D160" s="288">
        <f t="shared" si="7"/>
        <v>3</v>
      </c>
      <c r="E160" s="243">
        <f>COUNTIF(LCB!$C$4:$C$40,C160)</f>
        <v>0</v>
      </c>
      <c r="F160" s="243">
        <f>COUNTIF(LM!$C$4:$C$144,C160)</f>
        <v>0</v>
      </c>
      <c r="G160" s="243">
        <f>COUNTIF(LO!$C$4:$C$227,C160)</f>
        <v>0</v>
      </c>
      <c r="H160" s="243">
        <f>COUNTIF(LE!$C$4:$C$214,C160)</f>
        <v>0</v>
      </c>
      <c r="I160" s="289">
        <f>COUNTIF(LN!$C$4:$C$53,C160)</f>
        <v>0</v>
      </c>
      <c r="J160" s="289">
        <f>COUNTIF(LCE!$C$3:$C$43,C160)</f>
        <v>0</v>
      </c>
      <c r="K160" s="289">
        <f>COUNTIF(LI!$C$4:$C$60,C160)</f>
        <v>3</v>
      </c>
      <c r="L160" s="289">
        <f>COUNTIF(LAP!$C$5:$C$45,C160)</f>
        <v>0</v>
      </c>
      <c r="M160" s="289">
        <f>COUNTIF(LGDM!$C$4:$C$22,C160)</f>
        <v>0</v>
      </c>
      <c r="N160" s="289">
        <f>COUNTIF(LAM!$C$5:$C$21,C160)</f>
        <v>0</v>
      </c>
      <c r="O160" s="243">
        <f>COUNTIF(DEP!$C$3:$C$61,C160)</f>
        <v>0</v>
      </c>
      <c r="P160" s="291">
        <f>SUMIF(LCB!$C$4:$C$45,C160,LCB!$F$4:$F$45)+SUMIF(LM!$C$4:$C$140,C160,LM!$F$4:$F$140)+SUMIF(LO!$C$4:$C$230,C160,LO!$F$4:$F$230)+SUMIF(LE!$C$4:$C$200,C160,LE!$F$4:$F$200)+SUMIF(LN!$C$4:$C$48,C160,LN!$F$4:$F$48)+SUMIF(LCE!$C$4:$C$40,C160,LCE!$F$4:$F$40)+SUMIF(LI!$C$4:$C$55,C160,LI!$F$4:$F$55)+SUMIF(LAP!$C$4:$C$45,C160,LAP!$F$4:$F$45)+SUMIF(LGDM!$C$4:$C$22,C160,LGDM!$F$4:$F$22)+SUMIF(LAM!$C$4:$C$18,C160,LAM!$F$4:$F$18)+SUMIF(DEP!$C$4:$C$55,C160,DEP!$F$4:$F$55)</f>
        <v>53</v>
      </c>
      <c r="Q160" s="243">
        <f>SUMIF(LCB!$C$4:$C$45,C160,LCB!$E$4:$E$45)+SUMIF(LM!$C$4:$C$140,C160,LM!$E$4:$E$140)+SUMIF(LO!$C$4:$C$230,C160,LO!$E$4:$E$230)+SUMIF(LE!$C$4:$C$200,C160,LE!$E$4:$E$200)+SUMIF(LN!$C$4:$C$48,C160,LN!$E$4:$E$48)+SUMIF(LCE!$C$4:$C$40,C160,LCE!$E$4:$E$40)+SUMIF(LI!$C$4:$C$55,C160,LI!$E$4:$E$55)+SUMIF(LAP!$C$4:$C$45,C160,LAP!$E$4:$E$45)+SUMIF(LGDM!$C$4:$C$15,C160,LGDM!$E$4:$E$15)+SUMIF(LAM!$C$5:$C$18,C160,LAM!$E$5:$E$18)+SUMIF(DEP!$C$4:$C$55,C160,DEP!$E$4:$E$55)</f>
        <v>15</v>
      </c>
      <c r="R160" s="185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ht="13.5" customHeight="1">
      <c r="A161" s="9"/>
      <c r="B161" s="240">
        <v>16.0</v>
      </c>
      <c r="C161" s="148" t="s">
        <v>620</v>
      </c>
      <c r="D161" s="288">
        <f t="shared" si="7"/>
        <v>0</v>
      </c>
      <c r="E161" s="243">
        <f>COUNTIF(LCB!$C$4:$C$40,C161)</f>
        <v>0</v>
      </c>
      <c r="F161" s="243">
        <f>COUNTIF(LM!$C$4:$C$144,C161)</f>
        <v>0</v>
      </c>
      <c r="G161" s="243">
        <f>COUNTIF(LO!$C$4:$C$227,C161)</f>
        <v>0</v>
      </c>
      <c r="H161" s="243">
        <f>COUNTIF(LE!$C$4:$C$214,C161)</f>
        <v>0</v>
      </c>
      <c r="I161" s="289">
        <f>COUNTIF(LN!$C$4:$C$53,C161)</f>
        <v>0</v>
      </c>
      <c r="J161" s="289">
        <f>COUNTIF(LCE!$C$3:$C$43,C161)</f>
        <v>0</v>
      </c>
      <c r="K161" s="289">
        <f>COUNTIF(LI!$C$4:$C$60,C161)</f>
        <v>0</v>
      </c>
      <c r="L161" s="289">
        <f>COUNTIF(LAP!$C$5:$C$45,C161)</f>
        <v>0</v>
      </c>
      <c r="M161" s="289">
        <f>COUNTIF(LGDM!$C$4:$C$22,C161)</f>
        <v>0</v>
      </c>
      <c r="N161" s="289">
        <f>COUNTIF(LAM!$C$5:$C$21,C161)</f>
        <v>0</v>
      </c>
      <c r="O161" s="243">
        <f>COUNTIF(DEP!$C$3:$C$61,C161)</f>
        <v>0</v>
      </c>
      <c r="P161" s="291">
        <f>SUMIF(LCB!$C$4:$C$45,C161,LCB!$F$4:$F$45)+SUMIF(LM!$C$4:$C$140,C161,LM!$F$4:$F$140)+SUMIF(LO!$C$4:$C$230,C161,LO!$F$4:$F$230)+SUMIF(LE!$C$4:$C$200,C161,LE!$F$4:$F$200)+SUMIF(LN!$C$4:$C$48,C161,LN!$F$4:$F$48)+SUMIF(LCE!$C$4:$C$40,C161,LCE!$F$4:$F$40)+SUMIF(LI!$C$4:$C$55,C161,LI!$F$4:$F$55)+SUMIF(LAP!$C$4:$C$45,C161,LAP!$F$4:$F$45)+SUMIF(LGDM!$C$4:$C$22,C161,LGDM!$F$4:$F$22)+SUMIF(LAM!$C$4:$C$18,C161,LAM!$F$4:$F$18)+SUMIF(DEP!$C$4:$C$55,C161,DEP!$F$4:$F$55)</f>
        <v>0</v>
      </c>
      <c r="Q161" s="243">
        <f>SUMIF(LCB!$C$4:$C$45,C161,LCB!$E$4:$E$45)+SUMIF(LM!$C$4:$C$140,C161,LM!$E$4:$E$140)+SUMIF(LO!$C$4:$C$230,C161,LO!$E$4:$E$230)+SUMIF(LE!$C$4:$C$200,C161,LE!$E$4:$E$200)+SUMIF(LN!$C$4:$C$48,C161,LN!$E$4:$E$48)+SUMIF(LCE!$C$4:$C$40,C161,LCE!$E$4:$E$40)+SUMIF(LI!$C$4:$C$55,C161,LI!$E$4:$E$55)+SUMIF(LAP!$C$4:$C$45,C161,LAP!$E$4:$E$45)+SUMIF(LGDM!$C$4:$C$15,C161,LGDM!$E$4:$E$15)+SUMIF(LAM!$C$5:$C$18,C161,LAM!$E$5:$E$18)+SUMIF(DEP!$C$4:$C$55,C161,DEP!$E$4:$E$55)</f>
        <v>0</v>
      </c>
      <c r="R161" s="338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ht="13.5" customHeight="1">
      <c r="A162" s="9"/>
      <c r="B162" s="240">
        <v>17.0</v>
      </c>
      <c r="C162" s="148" t="s">
        <v>618</v>
      </c>
      <c r="D162" s="288">
        <f t="shared" si="7"/>
        <v>0</v>
      </c>
      <c r="E162" s="243">
        <f>COUNTIF(LCB!$C$4:$C$40,C162)</f>
        <v>0</v>
      </c>
      <c r="F162" s="243">
        <f>COUNTIF(LM!$C$4:$C$144,C162)</f>
        <v>0</v>
      </c>
      <c r="G162" s="243">
        <f>COUNTIF(LO!$C$4:$C$227,C162)</f>
        <v>0</v>
      </c>
      <c r="H162" s="243">
        <f>COUNTIF(LE!$C$4:$C$214,C162)</f>
        <v>0</v>
      </c>
      <c r="I162" s="289">
        <f>COUNTIF(LN!$C$4:$C$53,C162)</f>
        <v>0</v>
      </c>
      <c r="J162" s="289">
        <f>COUNTIF(LCE!$C$3:$C$43,C162)</f>
        <v>0</v>
      </c>
      <c r="K162" s="289">
        <f>COUNTIF(LI!$C$4:$C$60,C162)</f>
        <v>0</v>
      </c>
      <c r="L162" s="289">
        <f>COUNTIF(LAP!$C$5:$C$45,C162)</f>
        <v>0</v>
      </c>
      <c r="M162" s="289">
        <f>COUNTIF(LGDM!$C$4:$C$22,C162)</f>
        <v>0</v>
      </c>
      <c r="N162" s="289">
        <f>COUNTIF(LAM!$C$5:$C$21,C162)</f>
        <v>0</v>
      </c>
      <c r="O162" s="243">
        <f>COUNTIF(DEP!$C$3:$C$61,C162)</f>
        <v>0</v>
      </c>
      <c r="P162" s="291">
        <f>SUMIF(LCB!$C$4:$C$45,C162,LCB!$F$4:$F$45)+SUMIF(LM!$C$4:$C$140,C162,LM!$F$4:$F$140)+SUMIF(LO!$C$4:$C$230,C162,LO!$F$4:$F$230)+SUMIF(LE!$C$4:$C$200,C162,LE!$F$4:$F$200)+SUMIF(LN!$C$4:$C$48,C162,LN!$F$4:$F$48)+SUMIF(LCE!$C$4:$C$40,C162,LCE!$F$4:$F$40)+SUMIF(LI!$C$4:$C$55,C162,LI!$F$4:$F$55)+SUMIF(LAP!$C$4:$C$45,C162,LAP!$F$4:$F$45)+SUMIF(LGDM!$C$4:$C$22,C162,LGDM!$F$4:$F$22)+SUMIF(LAM!$C$4:$C$18,C162,LAM!$F$4:$F$18)+SUMIF(DEP!$C$4:$C$55,C162,DEP!$F$4:$F$55)</f>
        <v>0</v>
      </c>
      <c r="Q162" s="243">
        <f>SUMIF(LCB!$C$4:$C$45,C162,LCB!$E$4:$E$45)+SUMIF(LM!$C$4:$C$140,C162,LM!$E$4:$E$140)+SUMIF(LO!$C$4:$C$230,C162,LO!$E$4:$E$230)+SUMIF(LE!$C$4:$C$200,C162,LE!$E$4:$E$200)+SUMIF(LN!$C$4:$C$48,C162,LN!$E$4:$E$48)+SUMIF(LCE!$C$4:$C$40,C162,LCE!$E$4:$E$40)+SUMIF(LI!$C$4:$C$55,C162,LI!$E$4:$E$55)+SUMIF(LAP!$C$4:$C$45,C162,LAP!$E$4:$E$45)+SUMIF(LGDM!$C$4:$C$15,C162,LGDM!$E$4:$E$15)+SUMIF(LAM!$C$5:$C$18,C162,LAM!$E$5:$E$18)+SUMIF(DEP!$C$4:$C$55,C162,DEP!$E$4:$E$55)</f>
        <v>0</v>
      </c>
      <c r="R162" s="338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ht="13.5" customHeight="1">
      <c r="A163" s="9"/>
      <c r="B163" s="240">
        <v>18.0</v>
      </c>
      <c r="C163" s="148" t="s">
        <v>619</v>
      </c>
      <c r="D163" s="13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9"/>
      <c r="Q163" s="9"/>
      <c r="R163" s="338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ht="13.5" customHeight="1">
      <c r="A164" s="9"/>
      <c r="B164" s="240">
        <v>19.0</v>
      </c>
      <c r="C164" s="148" t="s">
        <v>621</v>
      </c>
      <c r="D164" s="13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9"/>
      <c r="Q164" s="9"/>
      <c r="R164" s="359" t="s">
        <v>622</v>
      </c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ht="13.5" customHeight="1">
      <c r="A165" s="9"/>
      <c r="B165" s="240">
        <v>20.0</v>
      </c>
      <c r="C165" s="148" t="s">
        <v>617</v>
      </c>
      <c r="D165" s="13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ht="13.5" customHeight="1">
      <c r="A166" s="9"/>
      <c r="B166" s="9"/>
      <c r="C166" s="249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ht="13.5" customHeight="1">
      <c r="A167" s="9"/>
      <c r="B167" s="9"/>
      <c r="C167" s="358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ht="24.0" customHeight="1">
      <c r="A168" s="9"/>
      <c r="B168" s="282" t="s">
        <v>58</v>
      </c>
      <c r="C168" s="356" t="s">
        <v>685</v>
      </c>
      <c r="D168" s="129" t="s">
        <v>334</v>
      </c>
      <c r="E168" s="284" t="s">
        <v>23</v>
      </c>
      <c r="F168" s="284" t="s">
        <v>15</v>
      </c>
      <c r="G168" s="284" t="s">
        <v>46</v>
      </c>
      <c r="H168" s="284" t="s">
        <v>16</v>
      </c>
      <c r="I168" s="284" t="s">
        <v>252</v>
      </c>
      <c r="J168" s="284" t="s">
        <v>41</v>
      </c>
      <c r="K168" s="284" t="s">
        <v>48</v>
      </c>
      <c r="L168" s="284" t="s">
        <v>58</v>
      </c>
      <c r="M168" s="286" t="s">
        <v>439</v>
      </c>
      <c r="N168" s="284" t="s">
        <v>687</v>
      </c>
      <c r="O168" s="284" t="s">
        <v>56</v>
      </c>
      <c r="P168" s="129" t="s">
        <v>210</v>
      </c>
      <c r="Q168" s="129" t="s">
        <v>688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ht="13.5" customHeight="1">
      <c r="A169" s="9"/>
      <c r="B169" s="11">
        <v>1.0</v>
      </c>
      <c r="C169" s="38" t="s">
        <v>412</v>
      </c>
      <c r="D169" s="288">
        <f t="shared" ref="D169:D178" si="8">SUM(E169:O169)</f>
        <v>1</v>
      </c>
      <c r="E169" s="243">
        <f>COUNTIF(LCB!$C$4:$C$40,C169)</f>
        <v>0</v>
      </c>
      <c r="F169" s="243">
        <f>COUNTIF(LM!$C$4:$C$144,C169)</f>
        <v>0</v>
      </c>
      <c r="G169" s="243">
        <f>COUNTIF(LO!$C$4:$C$227,C169)</f>
        <v>0</v>
      </c>
      <c r="H169" s="243">
        <f>COUNTIF(LE!$C$4:$C$214,C169)</f>
        <v>0</v>
      </c>
      <c r="I169" s="289">
        <f>COUNTIF(LN!$C$4:$C$53,C169)</f>
        <v>0</v>
      </c>
      <c r="J169" s="289">
        <f>COUNTIF(LCE!$C$3:$C$43,C169)</f>
        <v>1</v>
      </c>
      <c r="K169" s="289">
        <f>COUNTIF(LI!$C$4:$C$60,C169)</f>
        <v>0</v>
      </c>
      <c r="L169" s="289">
        <f>COUNTIF(LAP!$C$5:$C$45,C169)</f>
        <v>0</v>
      </c>
      <c r="M169" s="289">
        <f>COUNTIF(LGDM!$C$4:$C$22,C169)</f>
        <v>0</v>
      </c>
      <c r="N169" s="289">
        <f>COUNTIF(LAM!$C$5:$C$21,C169)</f>
        <v>0</v>
      </c>
      <c r="O169" s="243">
        <f>COUNTIF(DEP!$C$3:$C$61,C169)</f>
        <v>0</v>
      </c>
      <c r="P169" s="291">
        <f>SUMIF(LCB!$C$4:$C$45,C169,LCB!$F$4:$F$45)+SUMIF(LM!$C$4:$C$140,C169,LM!$F$4:$F$140)+SUMIF(LO!$C$4:$C$230,C169,LO!$F$4:$F$230)+SUMIF(LE!$C$4:$C$200,C169,LE!$F$4:$F$200)+SUMIF(LN!$C$4:$C$48,C169,LN!$F$4:$F$48)+SUMIF(LCE!$C$4:$C$40,C169,LCE!$F$4:$F$40)+SUMIF(LI!$C$4:$C$55,C169,LI!$F$4:$F$55)+SUMIF(LAP!$C$4:$C$45,C169,LAP!$F$4:$F$45)+SUMIF(LGDM!$C$4:$C$22,C169,LGDM!$F$4:$F$22)+SUMIF(LAM!$C$4:$C$18,C169,LAM!$F$4:$F$18)+SUMIF(DEP!$C$4:$C$55,C169,DEP!$F$4:$F$55)</f>
        <v>25</v>
      </c>
      <c r="Q169" s="243">
        <f>SUMIF(LCB!$C$4:$C$45,C169,LCB!$E$4:$E$45)+SUMIF(LM!$C$4:$C$140,C169,LM!$E$4:$E$140)+SUMIF(LO!$C$4:$C$230,C169,LO!$E$4:$E$230)+SUMIF(LE!$C$4:$C$200,C169,LE!$E$4:$E$200)+SUMIF(LN!$C$4:$C$48,C169,LN!$E$4:$E$48)+SUMIF(LCE!$C$4:$C$40,C169,LCE!$E$4:$E$40)+SUMIF(LI!$C$4:$C$55,C169,LI!$E$4:$E$55)+SUMIF(LAP!$C$4:$C$45,C169,LAP!$E$4:$E$45)+SUMIF(LGDM!$C$4:$C$15,C169,LGDM!$E$4:$E$15)+SUMIF(LAM!$C$5:$C$18,C169,LAM!$E$5:$E$18)+SUMIF(DEP!$C$4:$C$55,C169,DEP!$E$4:$E$55)</f>
        <v>5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ht="13.5" customHeight="1">
      <c r="A170" s="9"/>
      <c r="B170" s="11">
        <v>2.0</v>
      </c>
      <c r="C170" s="28" t="s">
        <v>570</v>
      </c>
      <c r="D170" s="288">
        <f t="shared" si="8"/>
        <v>1</v>
      </c>
      <c r="E170" s="243">
        <f>COUNTIF(LCB!$C$4:$C$40,C170)</f>
        <v>0</v>
      </c>
      <c r="F170" s="243">
        <f>COUNTIF(LM!$C$4:$C$144,C170)</f>
        <v>0</v>
      </c>
      <c r="G170" s="243">
        <f>COUNTIF(LO!$C$4:$C$227,C170)</f>
        <v>0</v>
      </c>
      <c r="H170" s="243">
        <f>COUNTIF(LE!$C$4:$C$214,C170)</f>
        <v>0</v>
      </c>
      <c r="I170" s="289">
        <f>COUNTIF(LN!$C$4:$C$53,C170)</f>
        <v>0</v>
      </c>
      <c r="J170" s="289">
        <f>COUNTIF(LCE!$C$3:$C$43,C170)</f>
        <v>0</v>
      </c>
      <c r="K170" s="289">
        <f>COUNTIF(LI!$C$4:$C$60,C170)</f>
        <v>0</v>
      </c>
      <c r="L170" s="289">
        <f>COUNTIF(LAP!$C$5:$C$45,C170)</f>
        <v>1</v>
      </c>
      <c r="M170" s="289">
        <f>COUNTIF(LGDM!$C$4:$C$22,C170)</f>
        <v>0</v>
      </c>
      <c r="N170" s="289">
        <f>COUNTIF(LAM!$C$5:$C$21,C170)</f>
        <v>0</v>
      </c>
      <c r="O170" s="243">
        <f>COUNTIF(DEP!$C$3:$C$61,C170)</f>
        <v>0</v>
      </c>
      <c r="P170" s="291">
        <f>SUMIF(LCB!$C$4:$C$45,C170,LCB!$F$4:$F$45)+SUMIF(LM!$C$4:$C$140,C170,LM!$F$4:$F$140)+SUMIF(LO!$C$4:$C$230,C170,LO!$F$4:$F$230)+SUMIF(LE!$C$4:$C$200,C170,LE!$F$4:$F$200)+SUMIF(LN!$C$4:$C$48,C170,LN!$F$4:$F$48)+SUMIF(LCE!$C$4:$C$40,C170,LCE!$F$4:$F$40)+SUMIF(LI!$C$4:$C$55,C170,LI!$F$4:$F$55)+SUMIF(LAP!$C$4:$C$45,C170,LAP!$F$4:$F$45)+SUMIF(LGDM!$C$4:$C$22,C170,LGDM!$F$4:$F$22)+SUMIF(LAM!$C$4:$C$18,C170,LAM!$F$4:$F$18)+SUMIF(DEP!$C$4:$C$55,C170,DEP!$F$4:$F$55)</f>
        <v>15</v>
      </c>
      <c r="Q170" s="243">
        <f>SUMIF(LCB!$C$4:$C$45,C170,LCB!$E$4:$E$45)+SUMIF(LM!$C$4:$C$140,C170,LM!$E$4:$E$140)+SUMIF(LO!$C$4:$C$230,C170,LO!$E$4:$E$230)+SUMIF(LE!$C$4:$C$200,C170,LE!$E$4:$E$200)+SUMIF(LN!$C$4:$C$48,C170,LN!$E$4:$E$48)+SUMIF(LCE!$C$4:$C$40,C170,LCE!$E$4:$E$40)+SUMIF(LI!$C$4:$C$55,C170,LI!$E$4:$E$55)+SUMIF(LAP!$C$4:$C$45,C170,LAP!$E$4:$E$45)+SUMIF(LGDM!$C$4:$C$15,C170,LGDM!$E$4:$E$15)+SUMIF(LAM!$C$5:$C$18,C170,LAM!$E$5:$E$18)+SUMIF(DEP!$C$4:$C$55,C170,DEP!$E$4:$E$55)</f>
        <v>4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ht="13.5" customHeight="1">
      <c r="A171" s="9"/>
      <c r="B171" s="11">
        <v>3.0</v>
      </c>
      <c r="C171" s="248" t="s">
        <v>565</v>
      </c>
      <c r="D171" s="288">
        <f t="shared" si="8"/>
        <v>2</v>
      </c>
      <c r="E171" s="243">
        <f>COUNTIF(LCB!$C$4:$C$40,C171)</f>
        <v>0</v>
      </c>
      <c r="F171" s="243">
        <f>COUNTIF(LM!$C$4:$C$144,C171)</f>
        <v>0</v>
      </c>
      <c r="G171" s="243">
        <f>COUNTIF(LO!$C$4:$C$227,C171)</f>
        <v>0</v>
      </c>
      <c r="H171" s="243">
        <f>COUNTIF(LE!$C$4:$C$214,C171)</f>
        <v>0</v>
      </c>
      <c r="I171" s="289">
        <f>COUNTIF(LN!$C$4:$C$53,C171)</f>
        <v>0</v>
      </c>
      <c r="J171" s="289">
        <f>COUNTIF(LCE!$C$3:$C$43,C171)</f>
        <v>0</v>
      </c>
      <c r="K171" s="289">
        <f>COUNTIF(LI!$C$4:$C$60,C171)</f>
        <v>0</v>
      </c>
      <c r="L171" s="289">
        <f>COUNTIF(LAP!$C$5:$C$45,C171)</f>
        <v>1</v>
      </c>
      <c r="M171" s="289">
        <f>COUNTIF(LGDM!$C$4:$C$22,C171)</f>
        <v>0</v>
      </c>
      <c r="N171" s="289">
        <f>COUNTIF(LAM!$C$5:$C$21,C171)</f>
        <v>0</v>
      </c>
      <c r="O171" s="243">
        <f>COUNTIF(DEP!$C$3:$C$61,C171)</f>
        <v>1</v>
      </c>
      <c r="P171" s="291">
        <f>SUMIF(LCB!$C$4:$C$45,C171,LCB!$F$4:$F$45)+SUMIF(LM!$C$4:$C$140,C171,LM!$F$4:$F$140)+SUMIF(LO!$C$4:$C$230,C171,LO!$F$4:$F$230)+SUMIF(LE!$C$4:$C$200,C171,LE!$F$4:$F$200)+SUMIF(LN!$C$4:$C$48,C171,LN!$F$4:$F$48)+SUMIF(LCE!$C$4:$C$40,C171,LCE!$F$4:$F$40)+SUMIF(LI!$C$4:$C$55,C171,LI!$F$4:$F$55)+SUMIF(LAP!$C$4:$C$45,C171,LAP!$F$4:$F$45)+SUMIF(LGDM!$C$4:$C$22,C171,LGDM!$F$4:$F$22)+SUMIF(LAM!$C$4:$C$18,C171,LAM!$F$4:$F$18)+SUMIF(DEP!$C$4:$C$55,C171,DEP!$F$4:$F$55)</f>
        <v>15</v>
      </c>
      <c r="Q171" s="243">
        <f>SUMIF(LCB!$C$4:$C$45,C171,LCB!$E$4:$E$45)+SUMIF(LM!$C$4:$C$140,C171,LM!$E$4:$E$140)+SUMIF(LO!$C$4:$C$230,C171,LO!$E$4:$E$230)+SUMIF(LE!$C$4:$C$200,C171,LE!$E$4:$E$200)+SUMIF(LN!$C$4:$C$48,C171,LN!$E$4:$E$48)+SUMIF(LCE!$C$4:$C$40,C171,LCE!$E$4:$E$40)+SUMIF(LI!$C$4:$C$55,C171,LI!$E$4:$E$55)+SUMIF(LAP!$C$4:$C$45,C171,LAP!$E$4:$E$45)+SUMIF(LGDM!$C$4:$C$15,C171,LGDM!$E$4:$E$15)+SUMIF(LAM!$C$5:$C$18,C171,LAM!$E$5:$E$18)+SUMIF(DEP!$C$4:$C$55,C171,DEP!$E$4:$E$55)</f>
        <v>8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ht="13.5" customHeight="1">
      <c r="A172" s="9"/>
      <c r="B172" s="11">
        <v>4.0</v>
      </c>
      <c r="C172" s="28" t="s">
        <v>84</v>
      </c>
      <c r="D172" s="288">
        <f t="shared" si="8"/>
        <v>2</v>
      </c>
      <c r="E172" s="243">
        <f>COUNTIF(LCB!$C$4:$C$40,C172)</f>
        <v>0</v>
      </c>
      <c r="F172" s="243">
        <f>COUNTIF(LM!$C$4:$C$144,C172)</f>
        <v>1</v>
      </c>
      <c r="G172" s="243">
        <f>COUNTIF(LO!$C$4:$C$227,C172)</f>
        <v>0</v>
      </c>
      <c r="H172" s="243">
        <f>COUNTIF(LE!$C$4:$C$214,C172)</f>
        <v>0</v>
      </c>
      <c r="I172" s="289">
        <f>COUNTIF(LN!$C$4:$C$53,C172)</f>
        <v>0</v>
      </c>
      <c r="J172" s="289">
        <f>COUNTIF(LCE!$C$3:$C$43,C172)</f>
        <v>0</v>
      </c>
      <c r="K172" s="289">
        <f>COUNTIF(LI!$C$4:$C$60,C172)</f>
        <v>0</v>
      </c>
      <c r="L172" s="289">
        <f>COUNTIF(LAP!$C$5:$C$45,C172)</f>
        <v>1</v>
      </c>
      <c r="M172" s="289">
        <f>COUNTIF(LGDM!$C$4:$C$22,C172)</f>
        <v>0</v>
      </c>
      <c r="N172" s="289">
        <f>COUNTIF(LAM!$C$5:$C$21,C172)</f>
        <v>0</v>
      </c>
      <c r="O172" s="243">
        <f>COUNTIF(DEP!$C$3:$C$61,C172)</f>
        <v>0</v>
      </c>
      <c r="P172" s="291">
        <f>SUMIF(LCB!$C$4:$C$45,C172,LCB!$F$4:$F$45)+SUMIF(LM!$C$4:$C$140,C172,LM!$F$4:$F$140)+SUMIF(LO!$C$4:$C$230,C172,LO!$F$4:$F$230)+SUMIF(LE!$C$4:$C$200,C172,LE!$F$4:$F$200)+SUMIF(LN!$C$4:$C$48,C172,LN!$F$4:$F$48)+SUMIF(LCE!$C$4:$C$40,C172,LCE!$F$4:$F$40)+SUMIF(LI!$C$4:$C$55,C172,LI!$F$4:$F$55)+SUMIF(LAP!$C$4:$C$45,C172,LAP!$F$4:$F$45)+SUMIF(LGDM!$C$4:$C$22,C172,LGDM!$F$4:$F$22)+SUMIF(LAM!$C$4:$C$18,C172,LAM!$F$4:$F$18)+SUMIF(DEP!$C$4:$C$55,C172,DEP!$F$4:$F$55)</f>
        <v>48</v>
      </c>
      <c r="Q172" s="243">
        <f>SUMIF(LCB!$C$4:$C$45,C172,LCB!$E$4:$E$45)+SUMIF(LM!$C$4:$C$140,C172,LM!$E$4:$E$140)+SUMIF(LO!$C$4:$C$230,C172,LO!$E$4:$E$230)+SUMIF(LE!$C$4:$C$200,C172,LE!$E$4:$E$200)+SUMIF(LN!$C$4:$C$48,C172,LN!$E$4:$E$48)+SUMIF(LCE!$C$4:$C$40,C172,LCE!$E$4:$E$40)+SUMIF(LI!$C$4:$C$55,C172,LI!$E$4:$E$55)+SUMIF(LAP!$C$4:$C$45,C172,LAP!$E$4:$E$45)+SUMIF(LGDM!$C$4:$C$15,C172,LGDM!$E$4:$E$15)+SUMIF(LAM!$C$5:$C$18,C172,LAM!$E$5:$E$18)+SUMIF(DEP!$C$4:$C$55,C172,DEP!$E$4:$E$55)</f>
        <v>9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ht="13.5" customHeight="1">
      <c r="A173" s="9"/>
      <c r="B173" s="11">
        <v>5.0</v>
      </c>
      <c r="C173" s="248" t="s">
        <v>148</v>
      </c>
      <c r="D173" s="288">
        <f t="shared" si="8"/>
        <v>4</v>
      </c>
      <c r="E173" s="243">
        <f>COUNTIF(LCB!$C$4:$C$40,C173)</f>
        <v>0</v>
      </c>
      <c r="F173" s="243">
        <f>COUNTIF(LM!$C$4:$C$144,C173)</f>
        <v>0</v>
      </c>
      <c r="G173" s="243">
        <f>COUNTIF(LO!$C$4:$C$227,C173)</f>
        <v>0</v>
      </c>
      <c r="H173" s="243">
        <f>COUNTIF(LE!$C$4:$C$214,C173)</f>
        <v>2</v>
      </c>
      <c r="I173" s="289">
        <f>COUNTIF(LN!$C$4:$C$53,C173)</f>
        <v>1</v>
      </c>
      <c r="J173" s="289">
        <f>COUNTIF(LCE!$C$3:$C$43,C173)</f>
        <v>0</v>
      </c>
      <c r="K173" s="289">
        <f>COUNTIF(LI!$C$4:$C$60,C173)</f>
        <v>0</v>
      </c>
      <c r="L173" s="289">
        <f>COUNTIF(LAP!$C$5:$C$45,C173)</f>
        <v>1</v>
      </c>
      <c r="M173" s="289">
        <f>COUNTIF(LGDM!$C$4:$C$22,C173)</f>
        <v>0</v>
      </c>
      <c r="N173" s="289">
        <f>COUNTIF(LAM!$C$5:$C$21,C173)</f>
        <v>0</v>
      </c>
      <c r="O173" s="243">
        <f>COUNTIF(DEP!$C$3:$C$61,C173)</f>
        <v>0</v>
      </c>
      <c r="P173" s="291">
        <f>SUMIF(LCB!$C$4:$C$45,C173,LCB!$F$4:$F$45)+SUMIF(LM!$C$4:$C$140,C173,LM!$F$4:$F$140)+SUMIF(LO!$C$4:$C$230,C173,LO!$F$4:$F$230)+SUMIF(LE!$C$4:$C$200,C173,LE!$F$4:$F$200)+SUMIF(LN!$C$4:$C$48,C173,LN!$F$4:$F$48)+SUMIF(LCE!$C$4:$C$40,C173,LCE!$F$4:$F$40)+SUMIF(LI!$C$4:$C$55,C173,LI!$F$4:$F$55)+SUMIF(LAP!$C$4:$C$45,C173,LAP!$F$4:$F$45)+SUMIF(LGDM!$C$4:$C$22,C173,LGDM!$F$4:$F$22)+SUMIF(LAM!$C$4:$C$18,C173,LAM!$F$4:$F$18)+SUMIF(DEP!$C$4:$C$55,C173,DEP!$F$4:$F$55)</f>
        <v>40</v>
      </c>
      <c r="Q173" s="243">
        <f>SUMIF(LCB!$C$4:$C$45,C173,LCB!$E$4:$E$45)+SUMIF(LM!$C$4:$C$140,C173,LM!$E$4:$E$140)+SUMIF(LO!$C$4:$C$230,C173,LO!$E$4:$E$230)+SUMIF(LE!$C$4:$C$200,C173,LE!$E$4:$E$200)+SUMIF(LN!$C$4:$C$48,C173,LN!$E$4:$E$48)+SUMIF(LCE!$C$4:$C$40,C173,LCE!$E$4:$E$40)+SUMIF(LI!$C$4:$C$55,C173,LI!$E$4:$E$55)+SUMIF(LAP!$C$4:$C$45,C173,LAP!$E$4:$E$45)+SUMIF(LGDM!$C$4:$C$15,C173,LGDM!$E$4:$E$15)+SUMIF(LAM!$C$5:$C$18,C173,LAM!$E$5:$E$18)+SUMIF(DEP!$C$4:$C$55,C173,DEP!$E$4:$E$55)</f>
        <v>17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ht="13.5" customHeight="1">
      <c r="A174" s="9"/>
      <c r="B174" s="11">
        <v>6.0</v>
      </c>
      <c r="C174" s="28" t="s">
        <v>543</v>
      </c>
      <c r="D174" s="288">
        <f t="shared" si="8"/>
        <v>4</v>
      </c>
      <c r="E174" s="243">
        <f>COUNTIF(LCB!$C$4:$C$40,C174)</f>
        <v>0</v>
      </c>
      <c r="F174" s="243">
        <f>COUNTIF(LM!$C$4:$C$144,C174)</f>
        <v>0</v>
      </c>
      <c r="G174" s="243">
        <f>COUNTIF(LO!$C$4:$C$227,C174)</f>
        <v>0</v>
      </c>
      <c r="H174" s="243">
        <f>COUNTIF(LE!$C$4:$C$214,C174)</f>
        <v>0</v>
      </c>
      <c r="I174" s="289">
        <f>COUNTIF(LN!$C$4:$C$53,C174)</f>
        <v>0</v>
      </c>
      <c r="J174" s="289">
        <f>COUNTIF(LCE!$C$3:$C$43,C174)</f>
        <v>0</v>
      </c>
      <c r="K174" s="289">
        <f>COUNTIF(LI!$C$4:$C$60,C174)</f>
        <v>0</v>
      </c>
      <c r="L174" s="289">
        <f>COUNTIF(LAP!$C$5:$C$45,C174)</f>
        <v>4</v>
      </c>
      <c r="M174" s="289">
        <f>COUNTIF(LGDM!$C$4:$C$22,C174)</f>
        <v>0</v>
      </c>
      <c r="N174" s="289">
        <f>COUNTIF(LAM!$C$5:$C$21,C174)</f>
        <v>0</v>
      </c>
      <c r="O174" s="243">
        <f>COUNTIF(DEP!$C$3:$C$61,C174)</f>
        <v>0</v>
      </c>
      <c r="P174" s="291">
        <f>SUMIF(LCB!$C$4:$C$45,C174,LCB!$F$4:$F$45)+SUMIF(LM!$C$4:$C$140,C174,LM!$F$4:$F$140)+SUMIF(LO!$C$4:$C$230,C174,LO!$F$4:$F$230)+SUMIF(LE!$C$4:$C$200,C174,LE!$F$4:$F$200)+SUMIF(LN!$C$4:$C$48,C174,LN!$F$4:$F$48)+SUMIF(LCE!$C$4:$C$40,C174,LCE!$F$4:$F$40)+SUMIF(LI!$C$4:$C$55,C174,LI!$F$4:$F$55)+SUMIF(LAP!$C$4:$C$45,C174,LAP!$F$4:$F$45)+SUMIF(LGDM!$C$4:$C$22,C174,LGDM!$F$4:$F$22)+SUMIF(LAM!$C$4:$C$18,C174,LAM!$F$4:$F$18)+SUMIF(DEP!$C$4:$C$55,C174,DEP!$F$4:$F$55)</f>
        <v>52</v>
      </c>
      <c r="Q174" s="243">
        <f>SUMIF(LCB!$C$4:$C$45,C174,LCB!$E$4:$E$45)+SUMIF(LM!$C$4:$C$140,C174,LM!$E$4:$E$140)+SUMIF(LO!$C$4:$C$230,C174,LO!$E$4:$E$230)+SUMIF(LE!$C$4:$C$200,C174,LE!$E$4:$E$200)+SUMIF(LN!$C$4:$C$48,C174,LN!$E$4:$E$48)+SUMIF(LCE!$C$4:$C$40,C174,LCE!$E$4:$E$40)+SUMIF(LI!$C$4:$C$55,C174,LI!$E$4:$E$55)+SUMIF(LAP!$C$4:$C$45,C174,LAP!$E$4:$E$45)+SUMIF(LGDM!$C$4:$C$15,C174,LGDM!$E$4:$E$15)+SUMIF(LAM!$C$5:$C$18,C174,LAM!$E$5:$E$18)+SUMIF(DEP!$C$4:$C$55,C174,DEP!$E$4:$E$55)</f>
        <v>19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ht="15.75" customHeight="1">
      <c r="A175" s="9"/>
      <c r="B175" s="11">
        <v>7.0</v>
      </c>
      <c r="C175" s="28" t="s">
        <v>589</v>
      </c>
      <c r="D175" s="288">
        <f t="shared" si="8"/>
        <v>1</v>
      </c>
      <c r="E175" s="243">
        <f>COUNTIF(LCB!$C$4:$C$40,C175)</f>
        <v>0</v>
      </c>
      <c r="F175" s="243">
        <f>COUNTIF(LM!$C$4:$C$144,C175)</f>
        <v>0</v>
      </c>
      <c r="G175" s="243">
        <f>COUNTIF(LO!$C$4:$C$227,C175)</f>
        <v>0</v>
      </c>
      <c r="H175" s="243">
        <f>COUNTIF(LE!$C$4:$C$214,C175)</f>
        <v>0</v>
      </c>
      <c r="I175" s="289">
        <f>COUNTIF(LN!$C$4:$C$53,C175)</f>
        <v>0</v>
      </c>
      <c r="J175" s="289">
        <f>COUNTIF(LCE!$C$3:$C$43,C175)</f>
        <v>0</v>
      </c>
      <c r="K175" s="289">
        <f>COUNTIF(LI!$C$4:$C$60,C175)</f>
        <v>0</v>
      </c>
      <c r="L175" s="289">
        <f>COUNTIF(LAP!$C$5:$C$45,C175)</f>
        <v>0</v>
      </c>
      <c r="M175" s="289">
        <f>COUNTIF(LGDM!$C$4:$C$22,C175)</f>
        <v>0</v>
      </c>
      <c r="N175" s="289">
        <f>COUNTIF(LAM!$C$5:$C$21,C175)</f>
        <v>0</v>
      </c>
      <c r="O175" s="243">
        <f>COUNTIF(DEP!$C$3:$C$61,C175)</f>
        <v>1</v>
      </c>
      <c r="P175" s="291">
        <f>SUMIF(LCB!$C$4:$C$45,C175,LCB!$F$4:$F$45)+SUMIF(LM!$C$4:$C$140,C175,LM!$F$4:$F$140)+SUMIF(LO!$C$4:$C$230,C175,LO!$F$4:$F$230)+SUMIF(LE!$C$4:$C$200,C175,LE!$F$4:$F$200)+SUMIF(LN!$C$4:$C$48,C175,LN!$F$4:$F$48)+SUMIF(LCE!$C$4:$C$40,C175,LCE!$F$4:$F$40)+SUMIF(LI!$C$4:$C$55,C175,LI!$F$4:$F$55)+SUMIF(LAP!$C$4:$C$45,C175,LAP!$F$4:$F$45)+SUMIF(LGDM!$C$4:$C$22,C175,LGDM!$F$4:$F$22)+SUMIF(LAM!$C$4:$C$18,C175,LAM!$F$4:$F$18)+SUMIF(DEP!$C$4:$C$55,C175,DEP!$F$4:$F$55)</f>
        <v>0</v>
      </c>
      <c r="Q175" s="243">
        <f>SUMIF(LCB!$C$4:$C$45,C175,LCB!$E$4:$E$45)+SUMIF(LM!$C$4:$C$140,C175,LM!$E$4:$E$140)+SUMIF(LO!$C$4:$C$230,C175,LO!$E$4:$E$230)+SUMIF(LE!$C$4:$C$200,C175,LE!$E$4:$E$200)+SUMIF(LN!$C$4:$C$48,C175,LN!$E$4:$E$48)+SUMIF(LCE!$C$4:$C$40,C175,LCE!$E$4:$E$40)+SUMIF(LI!$C$4:$C$55,C175,LI!$E$4:$E$55)+SUMIF(LAP!$C$4:$C$45,C175,LAP!$E$4:$E$45)+SUMIF(LGDM!$C$4:$C$15,C175,LGDM!$E$4:$E$15)+SUMIF(LAM!$C$5:$C$18,C175,LAM!$E$5:$E$18)+SUMIF(DEP!$C$4:$C$55,C175,DEP!$E$4:$E$55)</f>
        <v>4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r="176" ht="13.5" customHeight="1">
      <c r="A176" s="9"/>
      <c r="B176" s="11">
        <v>8.0</v>
      </c>
      <c r="C176" s="248" t="s">
        <v>120</v>
      </c>
      <c r="D176" s="288">
        <f t="shared" si="8"/>
        <v>3</v>
      </c>
      <c r="E176" s="243">
        <f>COUNTIF(LCB!$C$4:$C$40,C176)</f>
        <v>0</v>
      </c>
      <c r="F176" s="243">
        <f>COUNTIF(LM!$C$4:$C$144,C176)</f>
        <v>0</v>
      </c>
      <c r="G176" s="243">
        <f>COUNTIF(LO!$C$4:$C$227,C176)</f>
        <v>1</v>
      </c>
      <c r="H176" s="243">
        <f>COUNTIF(LE!$C$4:$C$214,C176)</f>
        <v>0</v>
      </c>
      <c r="I176" s="289">
        <f>COUNTIF(LN!$C$4:$C$53,C176)</f>
        <v>0</v>
      </c>
      <c r="J176" s="289">
        <f>COUNTIF(LCE!$C$3:$C$43,C176)</f>
        <v>0</v>
      </c>
      <c r="K176" s="289">
        <f>COUNTIF(LI!$C$4:$C$60,C176)</f>
        <v>0</v>
      </c>
      <c r="L176" s="289">
        <f>COUNTIF(LAP!$C$5:$C$45,C176)</f>
        <v>2</v>
      </c>
      <c r="M176" s="289">
        <f>COUNTIF(LGDM!$C$4:$C$22,C176)</f>
        <v>0</v>
      </c>
      <c r="N176" s="289">
        <f>COUNTIF(LAM!$C$5:$C$21,C176)</f>
        <v>0</v>
      </c>
      <c r="O176" s="243">
        <f>COUNTIF(DEP!$C$3:$C$61,C176)</f>
        <v>0</v>
      </c>
      <c r="P176" s="291">
        <f>SUMIF(LCB!$C$4:$C$45,C176,LCB!$F$4:$F$45)+SUMIF(LM!$C$4:$C$140,C176,LM!$F$4:$F$140)+SUMIF(LO!$C$4:$C$230,C176,LO!$F$4:$F$230)+SUMIF(LE!$C$4:$C$200,C176,LE!$F$4:$F$200)+SUMIF(LN!$C$4:$C$48,C176,LN!$F$4:$F$48)+SUMIF(LCE!$C$4:$C$40,C176,LCE!$F$4:$F$40)+SUMIF(LI!$C$4:$C$55,C176,LI!$F$4:$F$55)+SUMIF(LAP!$C$4:$C$45,C176,LAP!$F$4:$F$45)+SUMIF(LGDM!$C$4:$C$22,C176,LGDM!$F$4:$F$22)+SUMIF(LAM!$C$4:$C$18,C176,LAM!$F$4:$F$18)+SUMIF(DEP!$C$4:$C$55,C176,DEP!$F$4:$F$55)</f>
        <v>30</v>
      </c>
      <c r="Q176" s="243">
        <f>SUMIF(LCB!$C$4:$C$45,C176,LCB!$E$4:$E$45)+SUMIF(LM!$C$4:$C$140,C176,LM!$E$4:$E$140)+SUMIF(LO!$C$4:$C$230,C176,LO!$E$4:$E$230)+SUMIF(LE!$C$4:$C$200,C176,LE!$E$4:$E$200)+SUMIF(LN!$C$4:$C$48,C176,LN!$E$4:$E$48)+SUMIF(LCE!$C$4:$C$40,C176,LCE!$E$4:$E$40)+SUMIF(LI!$C$4:$C$55,C176,LI!$E$4:$E$55)+SUMIF(LAP!$C$4:$C$45,C176,LAP!$E$4:$E$45)+SUMIF(LGDM!$C$4:$C$15,C176,LGDM!$E$4:$E$15)+SUMIF(LAM!$C$5:$C$18,C176,LAM!$E$5:$E$18)+SUMIF(DEP!$C$4:$C$55,C176,DEP!$E$4:$E$55)</f>
        <v>15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r="177" ht="13.5" customHeight="1">
      <c r="A177" s="9"/>
      <c r="B177" s="11">
        <v>9.0</v>
      </c>
      <c r="C177" s="28" t="s">
        <v>525</v>
      </c>
      <c r="D177" s="288">
        <f t="shared" si="8"/>
        <v>1</v>
      </c>
      <c r="E177" s="243">
        <f>COUNTIF(LCB!$C$4:$C$40,C177)</f>
        <v>0</v>
      </c>
      <c r="F177" s="243">
        <f>COUNTIF(LM!$C$4:$C$144,C177)</f>
        <v>0</v>
      </c>
      <c r="G177" s="243">
        <f>COUNTIF(LO!$C$4:$C$227,C177)</f>
        <v>0</v>
      </c>
      <c r="H177" s="243">
        <f>COUNTIF(LE!$C$4:$C$214,C177)</f>
        <v>0</v>
      </c>
      <c r="I177" s="289">
        <f>COUNTIF(LN!$C$4:$C$53,C177)</f>
        <v>0</v>
      </c>
      <c r="J177" s="289">
        <f>COUNTIF(LCE!$C$3:$C$43,C177)</f>
        <v>0</v>
      </c>
      <c r="K177" s="289">
        <f>COUNTIF(LI!$C$4:$C$60,C177)</f>
        <v>0</v>
      </c>
      <c r="L177" s="289">
        <f>COUNTIF(LAP!$C$5:$C$45,C177)</f>
        <v>1</v>
      </c>
      <c r="M177" s="289">
        <f>COUNTIF(LGDM!$C$4:$C$22,C177)</f>
        <v>0</v>
      </c>
      <c r="N177" s="289">
        <f>COUNTIF(LAM!$C$5:$C$21,C177)</f>
        <v>0</v>
      </c>
      <c r="O177" s="243">
        <f>COUNTIF(DEP!$C$3:$C$61,C177)</f>
        <v>0</v>
      </c>
      <c r="P177" s="291">
        <f>SUMIF(LCB!$C$4:$C$45,C177,LCB!$F$4:$F$45)+SUMIF(LM!$C$4:$C$140,C177,LM!$F$4:$F$140)+SUMIF(LO!$C$4:$C$230,C177,LO!$F$4:$F$230)+SUMIF(LE!$C$4:$C$200,C177,LE!$F$4:$F$200)+SUMIF(LN!$C$4:$C$48,C177,LN!$F$4:$F$48)+SUMIF(LCE!$C$4:$C$40,C177,LCE!$F$4:$F$40)+SUMIF(LI!$C$4:$C$55,C177,LI!$F$4:$F$55)+SUMIF(LAP!$C$4:$C$45,C177,LAP!$F$4:$F$45)+SUMIF(LGDM!$C$4:$C$22,C177,LGDM!$F$4:$F$22)+SUMIF(LAM!$C$4:$C$18,C177,LAM!$F$4:$F$18)+SUMIF(DEP!$C$4:$C$55,C177,DEP!$F$4:$F$55)</f>
        <v>13</v>
      </c>
      <c r="Q177" s="243">
        <f>SUMIF(LCB!$C$4:$C$45,C177,LCB!$E$4:$E$45)+SUMIF(LM!$C$4:$C$140,C177,LM!$E$4:$E$140)+SUMIF(LO!$C$4:$C$230,C177,LO!$E$4:$E$230)+SUMIF(LE!$C$4:$C$200,C177,LE!$E$4:$E$200)+SUMIF(LN!$C$4:$C$48,C177,LN!$E$4:$E$48)+SUMIF(LCE!$C$4:$C$40,C177,LCE!$E$4:$E$40)+SUMIF(LI!$C$4:$C$55,C177,LI!$E$4:$E$55)+SUMIF(LAP!$C$4:$C$45,C177,LAP!$E$4:$E$45)+SUMIF(LGDM!$C$4:$C$15,C177,LGDM!$E$4:$E$15)+SUMIF(LAM!$C$5:$C$18,C177,LAM!$E$5:$E$18)+SUMIF(DEP!$C$4:$C$55,C177,DEP!$E$4:$E$55)</f>
        <v>5</v>
      </c>
      <c r="R177" s="185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r="178" ht="13.5" customHeight="1">
      <c r="A178" s="9"/>
      <c r="B178" s="11">
        <v>10.0</v>
      </c>
      <c r="C178" s="248" t="s">
        <v>433</v>
      </c>
      <c r="D178" s="288">
        <f t="shared" si="8"/>
        <v>3</v>
      </c>
      <c r="E178" s="243">
        <f>COUNTIF(LCB!$C$4:$C$40,C178)</f>
        <v>0</v>
      </c>
      <c r="F178" s="243">
        <f>COUNTIF(LM!$C$4:$C$144,C178)</f>
        <v>0</v>
      </c>
      <c r="G178" s="243">
        <f>COUNTIF(LO!$C$4:$C$227,C178)</f>
        <v>0</v>
      </c>
      <c r="H178" s="243">
        <f>COUNTIF(LE!$C$4:$C$214,C178)</f>
        <v>0</v>
      </c>
      <c r="I178" s="289">
        <f>COUNTIF(LN!$C$4:$C$53,C178)</f>
        <v>0</v>
      </c>
      <c r="J178" s="289">
        <f>COUNTIF(LCE!$C$3:$C$43,C178)</f>
        <v>1</v>
      </c>
      <c r="K178" s="289">
        <f>COUNTIF(LI!$C$4:$C$60,C178)</f>
        <v>0</v>
      </c>
      <c r="L178" s="289">
        <f>COUNTIF(LAP!$C$5:$C$45,C178)</f>
        <v>2</v>
      </c>
      <c r="M178" s="289">
        <f>COUNTIF(LGDM!$C$4:$C$22,C178)</f>
        <v>0</v>
      </c>
      <c r="N178" s="289">
        <f>COUNTIF(LAM!$C$5:$C$21,C178)</f>
        <v>0</v>
      </c>
      <c r="O178" s="243">
        <f>COUNTIF(DEP!$C$3:$C$61,C178)</f>
        <v>0</v>
      </c>
      <c r="P178" s="291">
        <f>SUMIF(LCB!$C$4:$C$45,C178,LCB!$F$4:$F$45)+SUMIF(LM!$C$4:$C$140,C178,LM!$F$4:$F$140)+SUMIF(LO!$C$4:$C$230,C178,LO!$F$4:$F$230)+SUMIF(LE!$C$4:$C$200,C178,LE!$F$4:$F$200)+SUMIF(LN!$C$4:$C$48,C178,LN!$F$4:$F$48)+SUMIF(LCE!$C$4:$C$40,C178,LCE!$F$4:$F$40)+SUMIF(LI!$C$4:$C$55,C178,LI!$F$4:$F$55)+SUMIF(LAP!$C$4:$C$45,C178,LAP!$F$4:$F$45)+SUMIF(LGDM!$C$4:$C$22,C178,LGDM!$F$4:$F$22)+SUMIF(LAM!$C$4:$C$18,C178,LAM!$F$4:$F$18)+SUMIF(DEP!$C$4:$C$55,C178,DEP!$F$4:$F$55)</f>
        <v>58</v>
      </c>
      <c r="Q178" s="243">
        <f>SUMIF(LCB!$C$4:$C$45,C178,LCB!$E$4:$E$45)+SUMIF(LM!$C$4:$C$140,C178,LM!$E$4:$E$140)+SUMIF(LO!$C$4:$C$230,C178,LO!$E$4:$E$230)+SUMIF(LE!$C$4:$C$200,C178,LE!$E$4:$E$200)+SUMIF(LN!$C$4:$C$48,C178,LN!$E$4:$E$48)+SUMIF(LCE!$C$4:$C$40,C178,LCE!$E$4:$E$40)+SUMIF(LI!$C$4:$C$55,C178,LI!$E$4:$E$55)+SUMIF(LAP!$C$4:$C$45,C178,LAP!$E$4:$E$45)+SUMIF(LGDM!$C$4:$C$15,C178,LGDM!$E$4:$E$15)+SUMIF(LAM!$C$5:$C$18,C178,LAM!$E$5:$E$18)+SUMIF(DEP!$C$4:$C$55,C178,DEP!$E$4:$E$55)</f>
        <v>20</v>
      </c>
      <c r="R178" s="338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ht="13.5" customHeight="1">
      <c r="A179" s="9"/>
      <c r="B179" s="11">
        <v>11.0</v>
      </c>
      <c r="C179" s="148" t="s">
        <v>605</v>
      </c>
      <c r="D179" s="13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9"/>
      <c r="Q179" s="9"/>
      <c r="R179" s="338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r="180" ht="13.5" customHeight="1">
      <c r="A180" s="9"/>
      <c r="B180" s="11">
        <v>12.0</v>
      </c>
      <c r="C180" s="148" t="s">
        <v>607</v>
      </c>
      <c r="D180" s="13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r="181" ht="13.5" customHeight="1">
      <c r="A181" s="9"/>
      <c r="B181" s="9"/>
      <c r="C181" s="248"/>
      <c r="D181" s="13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ht="13.5" customHeight="1">
      <c r="A182" s="9"/>
      <c r="B182" s="360"/>
      <c r="C182" s="361"/>
      <c r="D182" s="362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2"/>
      <c r="Q182" s="362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r="183" ht="13.5" customHeight="1">
      <c r="A183" s="9"/>
      <c r="B183" s="363" t="s">
        <v>439</v>
      </c>
      <c r="C183" s="364" t="s">
        <v>685</v>
      </c>
      <c r="D183" s="365" t="s">
        <v>334</v>
      </c>
      <c r="E183" s="366" t="s">
        <v>23</v>
      </c>
      <c r="F183" s="366" t="s">
        <v>15</v>
      </c>
      <c r="G183" s="366" t="s">
        <v>46</v>
      </c>
      <c r="H183" s="366" t="s">
        <v>16</v>
      </c>
      <c r="I183" s="366" t="s">
        <v>252</v>
      </c>
      <c r="J183" s="366" t="s">
        <v>41</v>
      </c>
      <c r="K183" s="366" t="s">
        <v>48</v>
      </c>
      <c r="L183" s="366" t="s">
        <v>58</v>
      </c>
      <c r="M183" s="366" t="s">
        <v>439</v>
      </c>
      <c r="N183" s="366" t="s">
        <v>687</v>
      </c>
      <c r="O183" s="366" t="s">
        <v>56</v>
      </c>
      <c r="P183" s="365" t="s">
        <v>210</v>
      </c>
      <c r="Q183" s="365" t="s">
        <v>688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r="184" ht="13.5" customHeight="1">
      <c r="A184" s="9"/>
      <c r="B184" s="367">
        <v>1.0</v>
      </c>
      <c r="C184" s="28" t="s">
        <v>592</v>
      </c>
      <c r="D184" s="288">
        <f t="shared" ref="D184:D185" si="9">SUM(E184:O184)</f>
        <v>2</v>
      </c>
      <c r="E184" s="243">
        <f>COUNTIF(LCB!$C$4:$C$40,C184)</f>
        <v>0</v>
      </c>
      <c r="F184" s="243">
        <f>COUNTIF(LM!$C$4:$C$144,C184)</f>
        <v>0</v>
      </c>
      <c r="G184" s="243">
        <f>COUNTIF(LO!$C$4:$C$227,C184)</f>
        <v>0</v>
      </c>
      <c r="H184" s="243">
        <f>COUNTIF(LE!$C$4:$C$214,C184)</f>
        <v>0</v>
      </c>
      <c r="I184" s="289">
        <f>COUNTIF(LN!$C$4:$C$53,C184)</f>
        <v>0</v>
      </c>
      <c r="J184" s="289">
        <f>COUNTIF(LCE!$C$3:$C$43,C184)</f>
        <v>0</v>
      </c>
      <c r="K184" s="289">
        <f>COUNTIF(LI!$C$4:$C$60,C184)</f>
        <v>0</v>
      </c>
      <c r="L184" s="289">
        <f>COUNTIF(LAP!$C$5:$C$45,C184)</f>
        <v>0</v>
      </c>
      <c r="M184" s="289">
        <f>COUNTIF(LGDM!$C$4:$C$22,C184)</f>
        <v>2</v>
      </c>
      <c r="N184" s="289">
        <f>COUNTIF(LAM!$C$5:$C$21,C184)</f>
        <v>0</v>
      </c>
      <c r="O184" s="243">
        <f>COUNTIF(DEP!$C$3:$C$61,C184)</f>
        <v>0</v>
      </c>
      <c r="P184" s="291">
        <f>SUMIF(LCB!$C$4:$C$45,C184,LCB!$F$4:$F$45)+SUMIF(LM!$C$4:$C$140,C184,LM!$F$4:$F$140)+SUMIF(LO!$C$4:$C$230,C184,LO!$F$4:$F$230)+SUMIF(LE!$C$4:$C$200,C184,LE!$F$4:$F$200)+SUMIF(LN!$C$4:$C$48,C184,LN!$F$4:$F$48)+SUMIF(LCE!$C$4:$C$40,C184,LCE!$F$4:$F$40)+SUMIF(LI!$C$4:$C$55,C184,LI!$F$4:$F$55)+SUMIF(LAP!$C$4:$C$45,C184,LAP!$F$4:$F$45)+SUMIF(LGDM!$C$4:$C$22,C184,LGDM!$F$4:$F$22)+SUMIF(LAM!$C$4:$C$18,C184,LAM!$F$4:$F$18)+SUMIF(DEP!$C$4:$C$55,C184,DEP!$F$4:$F$55)</f>
        <v>15</v>
      </c>
      <c r="Q184" s="243">
        <f>SUMIF(LCB!$C$4:$C$45,C184,LCB!$E$4:$E$45)+SUMIF(LM!$C$4:$C$140,C184,LM!$E$4:$E$140)+SUMIF(LO!$C$4:$C$230,C184,LO!$E$4:$E$230)+SUMIF(LE!$C$4:$C$200,C184,LE!$E$4:$E$200)+SUMIF(LN!$C$4:$C$48,C184,LN!$E$4:$E$48)+SUMIF(LCE!$C$4:$C$40,C184,LCE!$E$4:$E$40)+SUMIF(LI!$C$4:$C$55,C184,LI!$E$4:$E$55)+SUMIF(LAP!$C$4:$C$45,C184,LAP!$E$4:$E$45)+SUMIF(LGDM!$C$4:$C$15,C184,LGDM!$E$4:$E$15)+SUMIF(LAM!$C$5:$C$18,C184,LAM!$E$5:$E$18)+SUMIF(DEP!$C$4:$C$55,C184,DEP!$E$4:$E$55)</f>
        <v>5</v>
      </c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r="185" ht="13.5" customHeight="1">
      <c r="A185" s="9"/>
      <c r="B185" s="367">
        <v>2.0</v>
      </c>
      <c r="C185" s="28" t="s">
        <v>609</v>
      </c>
      <c r="D185" s="288">
        <f t="shared" si="9"/>
        <v>2</v>
      </c>
      <c r="E185" s="243">
        <f>COUNTIF(LCB!$C$4:$C$40,C185)</f>
        <v>0</v>
      </c>
      <c r="F185" s="243">
        <f>COUNTIF(LM!$C$4:$C$144,C185)</f>
        <v>0</v>
      </c>
      <c r="G185" s="243">
        <f>COUNTIF(LO!$C$4:$C$227,C185)</f>
        <v>0</v>
      </c>
      <c r="H185" s="243">
        <f>COUNTIF(LE!$C$4:$C$214,C185)</f>
        <v>0</v>
      </c>
      <c r="I185" s="289">
        <f>COUNTIF(LN!$C$4:$C$53,C185)</f>
        <v>0</v>
      </c>
      <c r="J185" s="289">
        <f>COUNTIF(LCE!$C$3:$C$43,C185)</f>
        <v>0</v>
      </c>
      <c r="K185" s="289">
        <f>COUNTIF(LI!$C$4:$C$60,C185)</f>
        <v>0</v>
      </c>
      <c r="L185" s="289">
        <f>COUNTIF(LAP!$C$5:$C$45,C185)</f>
        <v>0</v>
      </c>
      <c r="M185" s="289">
        <f>COUNTIF(LGDM!$C$4:$C$22,C185)</f>
        <v>0</v>
      </c>
      <c r="N185" s="289">
        <f>COUNTIF(LAM!$C$5:$C$21,C185)</f>
        <v>1</v>
      </c>
      <c r="O185" s="243">
        <f>COUNTIF(DEP!$C$3:$C$61,C185)</f>
        <v>1</v>
      </c>
      <c r="P185" s="291">
        <f>SUMIF(LCB!$C$4:$C$45,C185,LCB!$F$4:$F$45)+SUMIF(LM!$C$4:$C$140,C185,LM!$F$4:$F$140)+SUMIF(LO!$C$4:$C$230,C185,LO!$F$4:$F$230)+SUMIF(LE!$C$4:$C$200,C185,LE!$F$4:$F$200)+SUMIF(LN!$C$4:$C$48,C185,LN!$F$4:$F$48)+SUMIF(LCE!$C$4:$C$40,C185,LCE!$F$4:$F$40)+SUMIF(LI!$C$4:$C$55,C185,LI!$F$4:$F$55)+SUMIF(LAP!$C$4:$C$45,C185,LAP!$F$4:$F$45)+SUMIF(LGDM!$C$4:$C$22,C185,LGDM!$F$4:$F$22)+SUMIF(LAM!$C$4:$C$18,C185,LAM!$F$4:$F$18)+SUMIF(DEP!$C$4:$C$55,C185,DEP!$F$4:$F$55)</f>
        <v>4</v>
      </c>
      <c r="Q185" s="243">
        <f>SUMIF(LCB!$C$4:$C$45,C185,LCB!$E$4:$E$45)+SUMIF(LM!$C$4:$C$140,C185,LM!$E$4:$E$140)+SUMIF(LO!$C$4:$C$230,C185,LO!$E$4:$E$230)+SUMIF(LE!$C$4:$C$200,C185,LE!$E$4:$E$200)+SUMIF(LN!$C$4:$C$48,C185,LN!$E$4:$E$48)+SUMIF(LCE!$C$4:$C$40,C185,LCE!$E$4:$E$40)+SUMIF(LI!$C$4:$C$55,C185,LI!$E$4:$E$55)+SUMIF(LAP!$C$4:$C$45,C185,LAP!$E$4:$E$45)+SUMIF(LGDM!$C$4:$C$15,C185,LGDM!$E$4:$E$15)+SUMIF(LAM!$C$5:$C$18,C185,LAM!$E$5:$E$18)+SUMIF(DEP!$C$4:$C$55,C185,DEP!$E$4:$E$55)</f>
        <v>9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r="186" ht="13.5" customHeight="1">
      <c r="A186" s="9"/>
      <c r="B186" s="367">
        <v>3.0</v>
      </c>
      <c r="C186" s="28" t="s">
        <v>547</v>
      </c>
      <c r="D186" s="368">
        <v>2.0</v>
      </c>
      <c r="E186" s="243">
        <f>COUNTIF(LCB!$C$4:$C$40,C186)</f>
        <v>0</v>
      </c>
      <c r="F186" s="243">
        <f>COUNTIF(LM!$C$4:$C$144,C186)</f>
        <v>0</v>
      </c>
      <c r="G186" s="243">
        <f>COUNTIF(LO!$C$4:$C$227,C186)</f>
        <v>0</v>
      </c>
      <c r="H186" s="243">
        <f>COUNTIF(LE!$C$4:$C$214,C186)</f>
        <v>0</v>
      </c>
      <c r="I186" s="289">
        <f>COUNTIF(LN!$C$4:$C$53,C186)</f>
        <v>0</v>
      </c>
      <c r="J186" s="289">
        <f>COUNTIF(LCE!$C$3:$C$43,C186)</f>
        <v>0</v>
      </c>
      <c r="K186" s="289">
        <f>COUNTIF(LI!$C$4:$C$60,C186)</f>
        <v>0</v>
      </c>
      <c r="L186" s="289">
        <f>COUNTIF(LAP!$C$5:$C$45,C186)</f>
        <v>1</v>
      </c>
      <c r="M186" s="289">
        <f>COUNTIF(LGDM!$C$4:$C$22,C186)</f>
        <v>0</v>
      </c>
      <c r="N186" s="369">
        <v>1.0</v>
      </c>
      <c r="O186" s="243">
        <f>COUNTIF(DEP!$C$3:$C$61,C186)</f>
        <v>1</v>
      </c>
      <c r="P186" s="291">
        <f>SUMIF(LCB!$C$4:$C$45,C186,LCB!$F$4:$F$45)+SUMIF(LM!$C$4:$C$140,C186,LM!$F$4:$F$140)+SUMIF(LO!$C$4:$C$230,C186,LO!$F$4:$F$230)+SUMIF(LE!$C$4:$C$200,C186,LE!$F$4:$F$200)+SUMIF(LN!$C$4:$C$48,C186,LN!$F$4:$F$48)+SUMIF(LCE!$C$4:$C$40,C186,LCE!$F$4:$F$40)+SUMIF(LI!$C$4:$C$55,C186,LI!$F$4:$F$55)+SUMIF(LAP!$C$4:$C$45,C186,LAP!$F$4:$F$45)+SUMIF(LGDM!$C$4:$C$22,C186,LGDM!$F$4:$F$22)+SUMIF(LAM!$C$4:$C$18,C186,LAM!$F$4:$F$18)+SUMIF(DEP!$C$4:$C$55,C186,DEP!$F$4:$F$55)</f>
        <v>7</v>
      </c>
      <c r="Q186" s="243">
        <f>SUMIF(LCB!$C$4:$C$45,C186,LCB!$E$4:$E$45)+SUMIF(LM!$C$4:$C$140,C186,LM!$E$4:$E$140)+SUMIF(LO!$C$4:$C$230,C186,LO!$E$4:$E$230)+SUMIF(LE!$C$4:$C$200,C186,LE!$E$4:$E$200)+SUMIF(LN!$C$4:$C$48,C186,LN!$E$4:$E$48)+SUMIF(LCE!$C$4:$C$40,C186,LCE!$E$4:$E$40)+SUMIF(LI!$C$4:$C$55,C186,LI!$E$4:$E$55)+SUMIF(LAP!$C$4:$C$45,C186,LAP!$E$4:$E$45)+SUMIF(LGDM!$C$4:$C$15,C186,LGDM!$E$4:$E$15)+SUMIF(LAM!$C$5:$C$18,C186,LAM!$E$5:$E$18)+SUMIF(DEP!$C$4:$C$55,C186,DEP!$E$4:$E$55)</f>
        <v>9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r="187" ht="13.5" customHeight="1">
      <c r="A187" s="9"/>
      <c r="B187" s="367">
        <v>4.0</v>
      </c>
      <c r="C187" s="28" t="s">
        <v>601</v>
      </c>
      <c r="D187" s="288">
        <f t="shared" ref="D187:D190" si="10">SUM(E187:O187)</f>
        <v>3</v>
      </c>
      <c r="E187" s="243">
        <f>COUNTIF(LCB!$C$4:$C$40,C187)</f>
        <v>0</v>
      </c>
      <c r="F187" s="243">
        <f>COUNTIF(LM!$C$4:$C$144,C187)</f>
        <v>0</v>
      </c>
      <c r="G187" s="243">
        <f>COUNTIF(LO!$C$4:$C$227,C187)</f>
        <v>0</v>
      </c>
      <c r="H187" s="243">
        <f>COUNTIF(LE!$C$4:$C$214,C187)</f>
        <v>0</v>
      </c>
      <c r="I187" s="289">
        <f>COUNTIF(LN!$C$4:$C$53,C187)</f>
        <v>0</v>
      </c>
      <c r="J187" s="289">
        <f>COUNTIF(LCE!$C$3:$C$43,C187)</f>
        <v>0</v>
      </c>
      <c r="K187" s="289">
        <f>COUNTIF(LI!$C$4:$C$60,C187)</f>
        <v>0</v>
      </c>
      <c r="L187" s="289">
        <f>COUNTIF(LAP!$C$5:$C$45,C187)</f>
        <v>0</v>
      </c>
      <c r="M187" s="289">
        <f>COUNTIF(LGDM!$C$4:$C$22,C187)</f>
        <v>1</v>
      </c>
      <c r="N187" s="289">
        <f>COUNTIF(LAM!$C$5:$C$21,C187)</f>
        <v>2</v>
      </c>
      <c r="O187" s="243">
        <f>COUNTIF(DEP!$C$3:$C$61,C187)</f>
        <v>0</v>
      </c>
      <c r="P187" s="291">
        <f>SUMIF(LCB!$C$4:$C$45,C187,LCB!$F$4:$F$45)+SUMIF(LM!$C$4:$C$140,C187,LM!$F$4:$F$140)+SUMIF(LO!$C$4:$C$230,C187,LO!$F$4:$F$230)+SUMIF(LE!$C$4:$C$200,C187,LE!$F$4:$F$200)+SUMIF(LN!$C$4:$C$48,C187,LN!$F$4:$F$48)+SUMIF(LCE!$C$4:$C$40,C187,LCE!$F$4:$F$40)+SUMIF(LI!$C$4:$C$55,C187,LI!$F$4:$F$55)+SUMIF(LAP!$C$4:$C$45,C187,LAP!$F$4:$F$45)+SUMIF(LGDM!$C$4:$C$22,C187,LGDM!$F$4:$F$22)+SUMIF(LAM!$C$4:$C$18,C187,LAM!$F$4:$F$18)+SUMIF(DEP!$C$4:$C$55,C187,DEP!$F$4:$F$55)</f>
        <v>23</v>
      </c>
      <c r="Q187" s="243">
        <f>SUMIF(LCB!$C$4:$C$45,C187,LCB!$E$4:$E$45)+SUMIF(LM!$C$4:$C$140,C187,LM!$E$4:$E$140)+SUMIF(LO!$C$4:$C$230,C187,LO!$E$4:$E$230)+SUMIF(LE!$C$4:$C$200,C187,LE!$E$4:$E$200)+SUMIF(LN!$C$4:$C$48,C187,LN!$E$4:$E$48)+SUMIF(LCE!$C$4:$C$40,C187,LCE!$E$4:$E$40)+SUMIF(LI!$C$4:$C$55,C187,LI!$E$4:$E$55)+SUMIF(LAP!$C$4:$C$45,C187,LAP!$E$4:$E$45)+SUMIF(LGDM!$C$4:$C$15,C187,LGDM!$E$4:$E$15)+SUMIF(LAM!$C$5:$C$18,C187,LAM!$E$5:$E$18)+SUMIF(DEP!$C$4:$C$55,C187,DEP!$E$4:$E$55)</f>
        <v>15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r="188" ht="13.5" customHeight="1">
      <c r="A188" s="9"/>
      <c r="B188" s="367">
        <v>5.0</v>
      </c>
      <c r="C188" s="28" t="s">
        <v>384</v>
      </c>
      <c r="D188" s="288">
        <f t="shared" si="10"/>
        <v>5</v>
      </c>
      <c r="E188" s="243">
        <f>COUNTIF(LCB!$C$4:$C$40,C188)</f>
        <v>0</v>
      </c>
      <c r="F188" s="243">
        <f>COUNTIF(LM!$C$4:$C$144,C188)</f>
        <v>0</v>
      </c>
      <c r="G188" s="243">
        <f>COUNTIF(LO!$C$4:$C$227,C188)</f>
        <v>0</v>
      </c>
      <c r="H188" s="243">
        <f>COUNTIF(LE!$C$4:$C$214,C188)</f>
        <v>0</v>
      </c>
      <c r="I188" s="289">
        <f>COUNTIF(LN!$C$4:$C$53,C188)</f>
        <v>0</v>
      </c>
      <c r="J188" s="289">
        <f>COUNTIF(LCE!$C$3:$C$43,C188)</f>
        <v>2</v>
      </c>
      <c r="K188" s="289">
        <f>COUNTIF(LI!$C$4:$C$60,C188)</f>
        <v>0</v>
      </c>
      <c r="L188" s="289">
        <f>COUNTIF(LAP!$C$5:$C$45,C188)</f>
        <v>1</v>
      </c>
      <c r="M188" s="289">
        <f>COUNTIF(LGDM!$C$4:$C$22,C188)</f>
        <v>1</v>
      </c>
      <c r="N188" s="289">
        <f>COUNTIF(LAM!$C$5:$C$21,C188)</f>
        <v>1</v>
      </c>
      <c r="O188" s="243">
        <f>COUNTIF(DEP!$C$3:$C$61,C188)</f>
        <v>0</v>
      </c>
      <c r="P188" s="291">
        <f>SUMIF(LCB!$C$4:$C$45,C188,LCB!$F$4:$F$45)+SUMIF(LM!$C$4:$C$140,C188,LM!$F$4:$F$140)+SUMIF(LO!$C$4:$C$230,C188,LO!$F$4:$F$230)+SUMIF(LE!$C$4:$C$200,C188,LE!$F$4:$F$200)+SUMIF(LN!$C$4:$C$48,C188,LN!$F$4:$F$48)+SUMIF(LCE!$C$4:$C$40,C188,LCE!$F$4:$F$40)+SUMIF(LI!$C$4:$C$55,C188,LI!$F$4:$F$55)+SUMIF(LAP!$C$4:$C$45,C188,LAP!$F$4:$F$45)+SUMIF(LGDM!$C$4:$C$22,C188,LGDM!$F$4:$F$22)+SUMIF(LAM!$C$4:$C$18,C188,LAM!$F$4:$F$18)+SUMIF(DEP!$C$4:$C$55,C188,DEP!$F$4:$F$55)</f>
        <v>80</v>
      </c>
      <c r="Q188" s="243">
        <f>SUMIF(LCB!$C$4:$C$45,C188,LCB!$E$4:$E$45)+SUMIF(LM!$C$4:$C$140,C188,LM!$E$4:$E$140)+SUMIF(LO!$C$4:$C$230,C188,LO!$E$4:$E$230)+SUMIF(LE!$C$4:$C$200,C188,LE!$E$4:$E$200)+SUMIF(LN!$C$4:$C$48,C188,LN!$E$4:$E$48)+SUMIF(LCE!$C$4:$C$40,C188,LCE!$E$4:$E$40)+SUMIF(LI!$C$4:$C$55,C188,LI!$E$4:$E$55)+SUMIF(LAP!$C$4:$C$45,C188,LAP!$E$4:$E$45)+SUMIF(LGDM!$C$4:$C$15,C188,LGDM!$E$4:$E$15)+SUMIF(LAM!$C$5:$C$18,C188,LAM!$E$5:$E$18)+SUMIF(DEP!$C$4:$C$55,C188,DEP!$E$4:$E$55)</f>
        <v>25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r="189" ht="13.5" customHeight="1">
      <c r="A189" s="9"/>
      <c r="B189" s="367">
        <v>6.0</v>
      </c>
      <c r="C189" s="28" t="s">
        <v>577</v>
      </c>
      <c r="D189" s="288">
        <f t="shared" si="10"/>
        <v>2</v>
      </c>
      <c r="E189" s="243">
        <f>COUNTIF(LCB!$C$4:$C$40,C189)</f>
        <v>0</v>
      </c>
      <c r="F189" s="243">
        <f>COUNTIF(LM!$C$4:$C$144,C189)</f>
        <v>0</v>
      </c>
      <c r="G189" s="243">
        <f>COUNTIF(LO!$C$4:$C$227,C189)</f>
        <v>0</v>
      </c>
      <c r="H189" s="243">
        <f>COUNTIF(LE!$C$4:$C$214,C189)</f>
        <v>0</v>
      </c>
      <c r="I189" s="289">
        <f>COUNTIF(LN!$C$4:$C$53,C189)</f>
        <v>0</v>
      </c>
      <c r="J189" s="289">
        <f>COUNTIF(LCE!$C$3:$C$43,C189)</f>
        <v>0</v>
      </c>
      <c r="K189" s="289">
        <f>COUNTIF(LI!$C$4:$C$60,C189)</f>
        <v>0</v>
      </c>
      <c r="L189" s="289">
        <f>COUNTIF(LAP!$C$5:$C$45,C189)</f>
        <v>1</v>
      </c>
      <c r="M189" s="289">
        <f>COUNTIF(LGDM!$C$4:$C$22,C189)</f>
        <v>0</v>
      </c>
      <c r="N189" s="289">
        <f>COUNTIF(LAM!$C$5:$C$21,C189)</f>
        <v>1</v>
      </c>
      <c r="O189" s="243">
        <f>COUNTIF(DEP!$C$3:$C$61,C189)</f>
        <v>0</v>
      </c>
      <c r="P189" s="291">
        <f>SUMIF(LCB!$C$4:$C$45,C189,LCB!$F$4:$F$45)+SUMIF(LM!$C$4:$C$140,C189,LM!$F$4:$F$140)+SUMIF(LO!$C$4:$C$230,C189,LO!$F$4:$F$230)+SUMIF(LE!$C$4:$C$200,C189,LE!$F$4:$F$200)+SUMIF(LN!$C$4:$C$48,C189,LN!$F$4:$F$48)+SUMIF(LCE!$C$4:$C$40,C189,LCE!$F$4:$F$40)+SUMIF(LI!$C$4:$C$55,C189,LI!$F$4:$F$55)+SUMIF(LAP!$C$4:$C$45,C189,LAP!$F$4:$F$45)+SUMIF(LGDM!$C$4:$C$22,C189,LGDM!$F$4:$F$22)+SUMIF(LAM!$C$4:$C$18,C189,LAM!$F$4:$F$18)+SUMIF(DEP!$C$4:$C$55,C189,DEP!$F$4:$F$55)</f>
        <v>20</v>
      </c>
      <c r="Q189" s="243">
        <f>SUMIF(LCB!$C$4:$C$45,C189,LCB!$E$4:$E$45)+SUMIF(LM!$C$4:$C$140,C189,LM!$E$4:$E$140)+SUMIF(LO!$C$4:$C$230,C189,LO!$E$4:$E$230)+SUMIF(LE!$C$4:$C$200,C189,LE!$E$4:$E$200)+SUMIF(LN!$C$4:$C$48,C189,LN!$E$4:$E$48)+SUMIF(LCE!$C$4:$C$40,C189,LCE!$E$4:$E$40)+SUMIF(LI!$C$4:$C$55,C189,LI!$E$4:$E$55)+SUMIF(LAP!$C$4:$C$45,C189,LAP!$E$4:$E$45)+SUMIF(LGDM!$C$4:$C$15,C189,LGDM!$E$4:$E$15)+SUMIF(LAM!$C$5:$C$18,C189,LAM!$E$5:$E$18)+SUMIF(DEP!$C$4:$C$55,C189,DEP!$E$4:$E$55)</f>
        <v>9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r="190" ht="13.5" customHeight="1">
      <c r="A190" s="9"/>
      <c r="B190" s="367">
        <v>7.0</v>
      </c>
      <c r="C190" s="28" t="s">
        <v>574</v>
      </c>
      <c r="D190" s="288">
        <f t="shared" si="10"/>
        <v>3</v>
      </c>
      <c r="E190" s="243">
        <f>COUNTIF(LCB!$C$4:$C$40,C190)</f>
        <v>0</v>
      </c>
      <c r="F190" s="243">
        <f>COUNTIF(LM!$C$4:$C$144,C190)</f>
        <v>0</v>
      </c>
      <c r="G190" s="243">
        <f>COUNTIF(LO!$C$4:$C$227,C190)</f>
        <v>0</v>
      </c>
      <c r="H190" s="243">
        <f>COUNTIF(LE!$C$4:$C$214,C190)</f>
        <v>0</v>
      </c>
      <c r="I190" s="289">
        <f>COUNTIF(LN!$C$4:$C$53,C190)</f>
        <v>0</v>
      </c>
      <c r="J190" s="289">
        <f>COUNTIF(LCE!$C$3:$C$43,C190)</f>
        <v>0</v>
      </c>
      <c r="K190" s="289">
        <f>COUNTIF(LI!$C$4:$C$60,C190)</f>
        <v>0</v>
      </c>
      <c r="L190" s="289">
        <f>COUNTIF(LAP!$C$5:$C$45,C190)</f>
        <v>1</v>
      </c>
      <c r="M190" s="289">
        <f>COUNTIF(LGDM!$C$4:$C$22,C190)</f>
        <v>0</v>
      </c>
      <c r="N190" s="289">
        <f>COUNTIF(LAM!$C$5:$C$21,C190)</f>
        <v>2</v>
      </c>
      <c r="O190" s="243">
        <f>COUNTIF(DEP!$C$3:$C$61,C190)</f>
        <v>0</v>
      </c>
      <c r="P190" s="291">
        <f>SUMIF(LCB!$C$4:$C$45,C190,LCB!$F$4:$F$45)+SUMIF(LM!$C$4:$C$140,C190,LM!$F$4:$F$140)+SUMIF(LO!$C$4:$C$230,C190,LO!$F$4:$F$230)+SUMIF(LE!$C$4:$C$200,C190,LE!$F$4:$F$200)+SUMIF(LN!$C$4:$C$48,C190,LN!$F$4:$F$48)+SUMIF(LCE!$C$4:$C$40,C190,LCE!$F$4:$F$40)+SUMIF(LI!$C$4:$C$55,C190,LI!$F$4:$F$55)+SUMIF(LAP!$C$4:$C$45,C190,LAP!$F$4:$F$45)+SUMIF(LGDM!$C$4:$C$22,C190,LGDM!$F$4:$F$22)+SUMIF(LAM!$C$4:$C$18,C190,LAM!$F$4:$F$18)+SUMIF(DEP!$C$4:$C$55,C190,DEP!$F$4:$F$55)</f>
        <v>24</v>
      </c>
      <c r="Q190" s="243">
        <f>SUMIF(LCB!$C$4:$C$45,C190,LCB!$E$4:$E$45)+SUMIF(LM!$C$4:$C$140,C190,LM!$E$4:$E$140)+SUMIF(LO!$C$4:$C$230,C190,LO!$E$4:$E$230)+SUMIF(LE!$C$4:$C$200,C190,LE!$E$4:$E$200)+SUMIF(LN!$C$4:$C$48,C190,LN!$E$4:$E$48)+SUMIF(LCE!$C$4:$C$40,C190,LCE!$E$4:$E$40)+SUMIF(LI!$C$4:$C$55,C190,LI!$E$4:$E$55)+SUMIF(LAP!$C$4:$C$45,C190,LAP!$E$4:$E$45)+SUMIF(LGDM!$C$4:$C$15,C190,LGDM!$E$4:$E$15)+SUMIF(LAM!$C$5:$C$18,C190,LAM!$E$5:$E$18)+SUMIF(DEP!$C$4:$C$55,C190,DEP!$E$4:$E$55)</f>
        <v>14</v>
      </c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r="191" ht="13.5" customHeight="1">
      <c r="A191" s="9"/>
      <c r="B191" s="9"/>
      <c r="C191" s="182"/>
      <c r="D191" s="13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ht="13.5" customHeight="1">
      <c r="A192" s="9"/>
      <c r="B192" s="9"/>
      <c r="C192" s="182"/>
      <c r="D192" s="13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</row>
    <row r="193" ht="33.75" customHeight="1">
      <c r="A193" s="9"/>
      <c r="B193" s="282" t="s">
        <v>56</v>
      </c>
      <c r="C193" s="356" t="s">
        <v>685</v>
      </c>
      <c r="D193" s="129" t="s">
        <v>334</v>
      </c>
      <c r="E193" s="284" t="s">
        <v>23</v>
      </c>
      <c r="F193" s="284" t="s">
        <v>15</v>
      </c>
      <c r="G193" s="284" t="s">
        <v>46</v>
      </c>
      <c r="H193" s="284" t="s">
        <v>16</v>
      </c>
      <c r="I193" s="284" t="s">
        <v>252</v>
      </c>
      <c r="J193" s="284" t="s">
        <v>41</v>
      </c>
      <c r="K193" s="284" t="s">
        <v>48</v>
      </c>
      <c r="L193" s="284" t="s">
        <v>58</v>
      </c>
      <c r="M193" s="286" t="s">
        <v>439</v>
      </c>
      <c r="N193" s="284" t="s">
        <v>687</v>
      </c>
      <c r="O193" s="284" t="s">
        <v>56</v>
      </c>
      <c r="P193" s="129" t="s">
        <v>210</v>
      </c>
      <c r="Q193" s="129" t="s">
        <v>688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</row>
    <row r="194" ht="13.5" customHeight="1">
      <c r="A194" s="9"/>
      <c r="B194" s="62">
        <v>1.0</v>
      </c>
      <c r="C194" s="38" t="s">
        <v>656</v>
      </c>
      <c r="D194" s="288">
        <f t="shared" ref="D194:D208" si="11">SUM(E194:O194)</f>
        <v>1</v>
      </c>
      <c r="E194" s="243">
        <f>COUNTIF(LCB!$C$4:$C$40,C194)</f>
        <v>0</v>
      </c>
      <c r="F194" s="243">
        <f>COUNTIF(LM!$C$4:$C$144,C194)</f>
        <v>0</v>
      </c>
      <c r="G194" s="243">
        <f>COUNTIF(LO!$C$4:$C$227,C194)</f>
        <v>0</v>
      </c>
      <c r="H194" s="243">
        <f>COUNTIF(LE!$C$4:$C$214,C194)</f>
        <v>0</v>
      </c>
      <c r="I194" s="289">
        <f>COUNTIF(LN!$C$4:$C$53,C194)</f>
        <v>0</v>
      </c>
      <c r="J194" s="289">
        <f>COUNTIF(LCE!$C$3:$C$43,C194)</f>
        <v>0</v>
      </c>
      <c r="K194" s="289">
        <f>COUNTIF(LI!$C$4:$C$60,C194)</f>
        <v>0</v>
      </c>
      <c r="L194" s="289">
        <f>COUNTIF(LAP!$C$5:$C$45,C194)</f>
        <v>0</v>
      </c>
      <c r="M194" s="289">
        <f>COUNTIF(LGDM!$C$4:$C$22,C194)</f>
        <v>0</v>
      </c>
      <c r="N194" s="289">
        <f>COUNTIF(LAM!$C$5:$C$21,C194)</f>
        <v>0</v>
      </c>
      <c r="O194" s="243">
        <f>COUNTIF(DEP!$C$3:$C$61,C194)</f>
        <v>1</v>
      </c>
      <c r="P194" s="291">
        <f>SUMIF(LCB!$C$4:$C$45,C194,LCB!$F$4:$F$45)+SUMIF(LM!$C$4:$C$140,C194,LM!$F$4:$F$140)+SUMIF(LO!$C$4:$C$230,C194,LO!$F$4:$F$230)+SUMIF(LE!$C$4:$C$200,C194,LE!$F$4:$F$200)+SUMIF(LN!$C$4:$C$48,C194,LN!$F$4:$F$48)+SUMIF(LCE!$C$4:$C$40,C194,LCE!$F$4:$F$40)+SUMIF(LI!$C$4:$C$55,C194,LI!$F$4:$F$55)+SUMIF(LAP!$C$4:$C$45,C194,LAP!$F$4:$F$45)+SUMIF(LGDM!$C$4:$C$22,C194,LGDM!$F$4:$F$22)+SUMIF(LAM!$C$4:$C$18,C194,LAM!$F$4:$F$18)+SUMIF(DEP!$C$4:$C$55,C194,DEP!$F$4:$F$55)</f>
        <v>0</v>
      </c>
      <c r="Q194" s="243">
        <f>SUMIF(LCB!$C$4:$C$45,C194,LCB!$E$4:$E$45)+SUMIF(LM!$C$4:$C$140,C194,LM!$E$4:$E$140)+SUMIF(LO!$C$4:$C$230,C194,LO!$E$4:$E$230)+SUMIF(LE!$C$4:$C$200,C194,LE!$E$4:$E$200)+SUMIF(LN!$C$4:$C$48,C194,LN!$E$4:$E$48)+SUMIF(LCE!$C$4:$C$40,C194,LCE!$E$4:$E$40)+SUMIF(LI!$C$4:$C$55,C194,LI!$E$4:$E$55)+SUMIF(LAP!$C$4:$C$45,C194,LAP!$E$4:$E$45)+SUMIF(LGDM!$C$4:$C$15,C194,LGDM!$E$4:$E$15)+SUMIF(LAM!$C$5:$C$18,C194,LAM!$E$5:$E$18)+SUMIF(DEP!$C$4:$C$55,C194,DEP!$E$4:$E$55)</f>
        <v>4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</row>
    <row r="195" ht="13.5" customHeight="1">
      <c r="A195" s="9"/>
      <c r="B195" s="62">
        <v>2.0</v>
      </c>
      <c r="C195" s="38" t="s">
        <v>71</v>
      </c>
      <c r="D195" s="288">
        <f t="shared" si="11"/>
        <v>3</v>
      </c>
      <c r="E195" s="243">
        <f>COUNTIF(LCB!$C$4:$C$40,C195)</f>
        <v>0</v>
      </c>
      <c r="F195" s="243">
        <f>COUNTIF(LM!$C$4:$C$144,C195)</f>
        <v>1</v>
      </c>
      <c r="G195" s="243">
        <f>COUNTIF(LO!$C$4:$C$227,C195)</f>
        <v>0</v>
      </c>
      <c r="H195" s="243">
        <f>COUNTIF(LE!$C$4:$C$214,C195)</f>
        <v>0</v>
      </c>
      <c r="I195" s="289">
        <f>COUNTIF(LN!$C$4:$C$53,C195)</f>
        <v>0</v>
      </c>
      <c r="J195" s="289">
        <f>COUNTIF(LCE!$C$3:$C$43,C195)</f>
        <v>0</v>
      </c>
      <c r="K195" s="289">
        <f>COUNTIF(LI!$C$4:$C$60,C195)</f>
        <v>1</v>
      </c>
      <c r="L195" s="289">
        <f>COUNTIF(LAP!$C$5:$C$45,C195)</f>
        <v>0</v>
      </c>
      <c r="M195" s="289">
        <f>COUNTIF(LGDM!$C$4:$C$22,C195)</f>
        <v>0</v>
      </c>
      <c r="N195" s="289">
        <f>COUNTIF(LAM!$C$5:$C$21,C195)</f>
        <v>0</v>
      </c>
      <c r="O195" s="243">
        <f>COUNTIF(DEP!$C$3:$C$61,C195)</f>
        <v>1</v>
      </c>
      <c r="P195" s="291">
        <f>SUMIF(LCB!$C$4:$C$45,C195,LCB!$F$4:$F$45)+SUMIF(LM!$C$4:$C$140,C195,LM!$F$4:$F$140)+SUMIF(LO!$C$4:$C$230,C195,LO!$F$4:$F$230)+SUMIF(LE!$C$4:$C$200,C195,LE!$F$4:$F$200)+SUMIF(LN!$C$4:$C$48,C195,LN!$F$4:$F$48)+SUMIF(LCE!$C$4:$C$40,C195,LCE!$F$4:$F$40)+SUMIF(LI!$C$4:$C$55,C195,LI!$F$4:$F$55)+SUMIF(LAP!$C$4:$C$45,C195,LAP!$F$4:$F$45)+SUMIF(LGDM!$C$4:$C$22,C195,LGDM!$F$4:$F$22)+SUMIF(LAM!$C$4:$C$18,C195,LAM!$F$4:$F$18)+SUMIF(DEP!$C$4:$C$55,C195,DEP!$F$4:$F$55)</f>
        <v>62</v>
      </c>
      <c r="Q195" s="243">
        <f>SUMIF(LCB!$C$4:$C$45,C195,LCB!$E$4:$E$45)+SUMIF(LM!$C$4:$C$140,C195,LM!$E$4:$E$140)+SUMIF(LO!$C$4:$C$230,C195,LO!$E$4:$E$230)+SUMIF(LE!$C$4:$C$200,C195,LE!$E$4:$E$200)+SUMIF(LN!$C$4:$C$48,C195,LN!$E$4:$E$48)+SUMIF(LCE!$C$4:$C$40,C195,LCE!$E$4:$E$40)+SUMIF(LI!$C$4:$C$55,C195,LI!$E$4:$E$55)+SUMIF(LAP!$C$4:$C$45,C195,LAP!$E$4:$E$45)+SUMIF(LGDM!$C$4:$C$15,C195,LGDM!$E$4:$E$15)+SUMIF(LAM!$C$5:$C$18,C195,LAM!$E$5:$E$18)+SUMIF(DEP!$C$4:$C$55,C195,DEP!$E$4:$E$55)</f>
        <v>13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</row>
    <row r="196" ht="13.5" customHeight="1">
      <c r="A196" s="9"/>
      <c r="B196" s="62">
        <v>3.0</v>
      </c>
      <c r="C196" s="38" t="s">
        <v>595</v>
      </c>
      <c r="D196" s="288">
        <f t="shared" si="11"/>
        <v>2</v>
      </c>
      <c r="E196" s="243">
        <f>COUNTIF(LCB!$C$4:$C$40,C196)</f>
        <v>0</v>
      </c>
      <c r="F196" s="243">
        <f>COUNTIF(LM!$C$4:$C$144,C196)</f>
        <v>0</v>
      </c>
      <c r="G196" s="243">
        <f>COUNTIF(LO!$C$4:$C$227,C196)</f>
        <v>0</v>
      </c>
      <c r="H196" s="243">
        <f>COUNTIF(LE!$C$4:$C$214,C196)</f>
        <v>0</v>
      </c>
      <c r="I196" s="289">
        <f>COUNTIF(LN!$C$4:$C$53,C196)</f>
        <v>0</v>
      </c>
      <c r="J196" s="289">
        <f>COUNTIF(LCE!$C$3:$C$43,C196)</f>
        <v>0</v>
      </c>
      <c r="K196" s="289">
        <f>COUNTIF(LI!$C$4:$C$60,C196)</f>
        <v>0</v>
      </c>
      <c r="L196" s="289">
        <f>COUNTIF(LAP!$C$5:$C$45,C196)</f>
        <v>0</v>
      </c>
      <c r="M196" s="289">
        <f>COUNTIF(LGDM!$C$4:$C$22,C196)</f>
        <v>1</v>
      </c>
      <c r="N196" s="289">
        <f>COUNTIF(LAM!$C$5:$C$21,C196)</f>
        <v>0</v>
      </c>
      <c r="O196" s="243">
        <f>COUNTIF(DEP!$C$3:$C$61,C196)</f>
        <v>1</v>
      </c>
      <c r="P196" s="291">
        <f>SUMIF(LCB!$C$4:$C$45,C196,LCB!$F$4:$F$45)+SUMIF(LM!$C$4:$C$140,C196,LM!$F$4:$F$140)+SUMIF(LO!$C$4:$C$230,C196,LO!$F$4:$F$230)+SUMIF(LE!$C$4:$C$200,C196,LE!$F$4:$F$200)+SUMIF(LN!$C$4:$C$48,C196,LN!$F$4:$F$48)+SUMIF(LCE!$C$4:$C$40,C196,LCE!$F$4:$F$40)+SUMIF(LI!$C$4:$C$55,C196,LI!$F$4:$F$55)+SUMIF(LAP!$C$4:$C$45,C196,LAP!$F$4:$F$45)+SUMIF(LGDM!$C$4:$C$22,C196,LGDM!$F$4:$F$22)+SUMIF(LAM!$C$4:$C$18,C196,LAM!$F$4:$F$18)+SUMIF(DEP!$C$4:$C$55,C196,DEP!$F$4:$F$55)</f>
        <v>14</v>
      </c>
      <c r="Q196" s="243">
        <f>SUMIF(LCB!$C$4:$C$45,C196,LCB!$E$4:$E$45)+SUMIF(LM!$C$4:$C$140,C196,LM!$E$4:$E$140)+SUMIF(LO!$C$4:$C$230,C196,LO!$E$4:$E$230)+SUMIF(LE!$C$4:$C$200,C196,LE!$E$4:$E$200)+SUMIF(LN!$C$4:$C$48,C196,LN!$E$4:$E$48)+SUMIF(LCE!$C$4:$C$40,C196,LCE!$E$4:$E$40)+SUMIF(LI!$C$4:$C$55,C196,LI!$E$4:$E$55)+SUMIF(LAP!$C$4:$C$45,C196,LAP!$E$4:$E$45)+SUMIF(LGDM!$C$4:$C$15,C196,LGDM!$E$4:$E$15)+SUMIF(LAM!$C$5:$C$18,C196,LAM!$E$5:$E$18)+SUMIF(DEP!$C$4:$C$55,C196,DEP!$E$4:$E$55)</f>
        <v>9</v>
      </c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</row>
    <row r="197" ht="13.5" customHeight="1">
      <c r="A197" s="9"/>
      <c r="B197" s="62">
        <v>4.0</v>
      </c>
      <c r="C197" s="38" t="s">
        <v>1019</v>
      </c>
      <c r="D197" s="288">
        <f t="shared" si="11"/>
        <v>0</v>
      </c>
      <c r="E197" s="243">
        <f>COUNTIF(LCB!$C$4:$C$40,C197)</f>
        <v>0</v>
      </c>
      <c r="F197" s="243">
        <f>COUNTIF(LM!$C$4:$C$144,C197)</f>
        <v>0</v>
      </c>
      <c r="G197" s="243">
        <f>COUNTIF(LO!$C$4:$C$227,C197)</f>
        <v>0</v>
      </c>
      <c r="H197" s="243">
        <f>COUNTIF(LE!$C$4:$C$214,C197)</f>
        <v>0</v>
      </c>
      <c r="I197" s="289">
        <f>COUNTIF(LN!$C$4:$C$53,C197)</f>
        <v>0</v>
      </c>
      <c r="J197" s="289">
        <f>COUNTIF(LCE!$C$3:$C$43,C197)</f>
        <v>0</v>
      </c>
      <c r="K197" s="289">
        <f>COUNTIF(LI!$C$4:$C$60,C197)</f>
        <v>0</v>
      </c>
      <c r="L197" s="289">
        <f>COUNTIF(LAP!$C$5:$C$45,C197)</f>
        <v>0</v>
      </c>
      <c r="M197" s="289">
        <f>COUNTIF(LGDM!$C$4:$C$22,C197)</f>
        <v>0</v>
      </c>
      <c r="N197" s="289">
        <f>COUNTIF(LAM!$C$5:$C$21,C197)</f>
        <v>0</v>
      </c>
      <c r="O197" s="243">
        <f>COUNTIF(DEP!$C$3:$C$61,C197)</f>
        <v>0</v>
      </c>
      <c r="P197" s="291">
        <f>SUMIF(LCB!$C$4:$C$45,C197,LCB!$F$4:$F$45)+SUMIF(LM!$C$4:$C$140,C197,LM!$F$4:$F$140)+SUMIF(LO!$C$4:$C$230,C197,LO!$F$4:$F$230)+SUMIF(LE!$C$4:$C$200,C197,LE!$F$4:$F$200)+SUMIF(LN!$C$4:$C$48,C197,LN!$F$4:$F$48)+SUMIF(LCE!$C$4:$C$40,C197,LCE!$F$4:$F$40)+SUMIF(LI!$C$4:$C$55,C197,LI!$F$4:$F$55)+SUMIF(LAP!$C$4:$C$45,C197,LAP!$F$4:$F$45)+SUMIF(LGDM!$C$4:$C$22,C197,LGDM!$F$4:$F$22)+SUMIF(LAM!$C$4:$C$18,C197,LAM!$F$4:$F$18)+SUMIF(DEP!$C$4:$C$55,C197,DEP!$F$4:$F$55)</f>
        <v>0</v>
      </c>
      <c r="Q197" s="243">
        <f>SUMIF(LCB!$C$4:$C$45,C197,LCB!$E$4:$E$45)+SUMIF(LM!$C$4:$C$140,C197,LM!$E$4:$E$140)+SUMIF(LO!$C$4:$C$230,C197,LO!$E$4:$E$230)+SUMIF(LE!$C$4:$C$200,C197,LE!$E$4:$E$200)+SUMIF(LN!$C$4:$C$48,C197,LN!$E$4:$E$48)+SUMIF(LCE!$C$4:$C$40,C197,LCE!$E$4:$E$40)+SUMIF(LI!$C$4:$C$55,C197,LI!$E$4:$E$55)+SUMIF(LAP!$C$4:$C$45,C197,LAP!$E$4:$E$45)+SUMIF(LGDM!$C$4:$C$15,C197,LGDM!$E$4:$E$15)+SUMIF(LAM!$C$5:$C$18,C197,LAM!$E$5:$E$18)+SUMIF(DEP!$C$4:$C$55,C197,DEP!$E$4:$E$55)</f>
        <v>0</v>
      </c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</row>
    <row r="198" ht="13.5" customHeight="1">
      <c r="A198" s="9"/>
      <c r="B198" s="62">
        <v>5.0</v>
      </c>
      <c r="C198" s="38" t="s">
        <v>515</v>
      </c>
      <c r="D198" s="288">
        <f t="shared" si="11"/>
        <v>3</v>
      </c>
      <c r="E198" s="243">
        <f>COUNTIF(LCB!$C$4:$C$40,C198)</f>
        <v>0</v>
      </c>
      <c r="F198" s="243">
        <f>COUNTIF(LM!$C$4:$C$144,C198)</f>
        <v>0</v>
      </c>
      <c r="G198" s="243">
        <f>COUNTIF(LO!$C$4:$C$227,C198)</f>
        <v>0</v>
      </c>
      <c r="H198" s="243">
        <f>COUNTIF(LE!$C$4:$C$214,C198)</f>
        <v>0</v>
      </c>
      <c r="I198" s="289">
        <f>COUNTIF(LN!$C$4:$C$53,C198)</f>
        <v>0</v>
      </c>
      <c r="J198" s="289">
        <f>COUNTIF(LCE!$C$3:$C$43,C198)</f>
        <v>0</v>
      </c>
      <c r="K198" s="289">
        <f>COUNTIF(LI!$C$4:$C$60,C198)</f>
        <v>0</v>
      </c>
      <c r="L198" s="289">
        <f>COUNTIF(LAP!$C$5:$C$45,C198)</f>
        <v>2</v>
      </c>
      <c r="M198" s="289">
        <f>COUNTIF(LGDM!$C$4:$C$22,C198)</f>
        <v>0</v>
      </c>
      <c r="N198" s="289">
        <f>COUNTIF(LAM!$C$5:$C$21,C198)</f>
        <v>0</v>
      </c>
      <c r="O198" s="243">
        <f>COUNTIF(DEP!$C$3:$C$61,C198)</f>
        <v>1</v>
      </c>
      <c r="P198" s="291">
        <f>SUMIF(LCB!$C$4:$C$45,C198,LCB!$F$4:$F$45)+SUMIF(LM!$C$4:$C$140,C198,LM!$F$4:$F$140)+SUMIF(LO!$C$4:$C$230,C198,LO!$F$4:$F$230)+SUMIF(LE!$C$4:$C$200,C198,LE!$F$4:$F$200)+SUMIF(LN!$C$4:$C$48,C198,LN!$F$4:$F$48)+SUMIF(LCE!$C$4:$C$40,C198,LCE!$F$4:$F$40)+SUMIF(LI!$C$4:$C$55,C198,LI!$F$4:$F$55)+SUMIF(LAP!$C$4:$C$45,C198,LAP!$F$4:$F$45)+SUMIF(LGDM!$C$4:$C$22,C198,LGDM!$F$4:$F$22)+SUMIF(LAM!$C$4:$C$18,C198,LAM!$F$4:$F$18)+SUMIF(DEP!$C$4:$C$55,C198,DEP!$F$4:$F$55)</f>
        <v>28</v>
      </c>
      <c r="Q198" s="243">
        <f>SUMIF(LCB!$C$4:$C$45,C198,LCB!$E$4:$E$45)+SUMIF(LM!$C$4:$C$140,C198,LM!$E$4:$E$140)+SUMIF(LO!$C$4:$C$230,C198,LO!$E$4:$E$230)+SUMIF(LE!$C$4:$C$200,C198,LE!$E$4:$E$200)+SUMIF(LN!$C$4:$C$48,C198,LN!$E$4:$E$48)+SUMIF(LCE!$C$4:$C$40,C198,LCE!$E$4:$E$40)+SUMIF(LI!$C$4:$C$55,C198,LI!$E$4:$E$55)+SUMIF(LAP!$C$4:$C$45,C198,LAP!$E$4:$E$45)+SUMIF(LGDM!$C$4:$C$15,C198,LGDM!$E$4:$E$15)+SUMIF(LAM!$C$5:$C$18,C198,LAM!$E$5:$E$18)+SUMIF(DEP!$C$4:$C$55,C198,DEP!$E$4:$E$55)</f>
        <v>14</v>
      </c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</row>
    <row r="199" ht="13.5" customHeight="1">
      <c r="A199" s="9"/>
      <c r="B199" s="62">
        <v>6.0</v>
      </c>
      <c r="C199" s="38" t="s">
        <v>75</v>
      </c>
      <c r="D199" s="288">
        <f t="shared" si="11"/>
        <v>4</v>
      </c>
      <c r="E199" s="243">
        <f>COUNTIF(LCB!$C$4:$C$40,C199)</f>
        <v>0</v>
      </c>
      <c r="F199" s="243">
        <f>COUNTIF(LM!$C$4:$C$144,C199)</f>
        <v>0</v>
      </c>
      <c r="G199" s="243">
        <f>COUNTIF(LO!$C$4:$C$227,C199)</f>
        <v>2</v>
      </c>
      <c r="H199" s="243">
        <f>COUNTIF(LE!$C$4:$C$214,C199)</f>
        <v>0</v>
      </c>
      <c r="I199" s="289">
        <f>COUNTIF(LN!$C$4:$C$53,C199)</f>
        <v>0</v>
      </c>
      <c r="J199" s="289">
        <f>COUNTIF(LCE!$C$3:$C$43,C199)</f>
        <v>1</v>
      </c>
      <c r="K199" s="289">
        <f>COUNTIF(LI!$C$4:$C$60,C199)</f>
        <v>0</v>
      </c>
      <c r="L199" s="289">
        <f>COUNTIF(LAP!$C$5:$C$45,C199)</f>
        <v>0</v>
      </c>
      <c r="M199" s="289">
        <f>COUNTIF(LGDM!$C$4:$C$22,C199)</f>
        <v>0</v>
      </c>
      <c r="N199" s="289">
        <f>COUNTIF(LAM!$C$5:$C$21,C199)</f>
        <v>0</v>
      </c>
      <c r="O199" s="243">
        <f>COUNTIF(DEP!$C$3:$C$61,C199)</f>
        <v>1</v>
      </c>
      <c r="P199" s="291">
        <f>SUMIF(LCB!$C$4:$C$45,C199,LCB!$F$4:$F$45)+SUMIF(LM!$C$4:$C$140,C199,LM!$F$4:$F$140)+SUMIF(LO!$C$4:$C$230,C199,LO!$F$4:$F$230)+SUMIF(LE!$C$4:$C$200,C199,LE!$F$4:$F$200)+SUMIF(LN!$C$4:$C$48,C199,LN!$F$4:$F$48)+SUMIF(LCE!$C$4:$C$40,C199,LCE!$F$4:$F$40)+SUMIF(LI!$C$4:$C$55,C199,LI!$F$4:$F$55)+SUMIF(LAP!$C$4:$C$45,C199,LAP!$F$4:$F$45)+SUMIF(LGDM!$C$4:$C$22,C199,LGDM!$F$4:$F$22)+SUMIF(LAM!$C$4:$C$18,C199,LAM!$F$4:$F$18)+SUMIF(DEP!$C$4:$C$55,C199,DEP!$F$4:$F$55)</f>
        <v>25</v>
      </c>
      <c r="Q199" s="243">
        <f>SUMIF(LCB!$C$4:$C$45,C199,LCB!$E$4:$E$45)+SUMIF(LM!$C$4:$C$140,C199,LM!$E$4:$E$140)+SUMIF(LO!$C$4:$C$230,C199,LO!$E$4:$E$230)+SUMIF(LE!$C$4:$C$200,C199,LE!$E$4:$E$200)+SUMIF(LN!$C$4:$C$48,C199,LN!$E$4:$E$48)+SUMIF(LCE!$C$4:$C$40,C199,LCE!$E$4:$E$40)+SUMIF(LI!$C$4:$C$55,C199,LI!$E$4:$E$55)+SUMIF(LAP!$C$4:$C$45,C199,LAP!$E$4:$E$45)+SUMIF(LGDM!$C$4:$C$15,C199,LGDM!$E$4:$E$15)+SUMIF(LAM!$C$5:$C$18,C199,LAM!$E$5:$E$18)+SUMIF(DEP!$C$4:$C$55,C199,DEP!$E$4:$E$55)</f>
        <v>19</v>
      </c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</row>
    <row r="200" ht="13.5" customHeight="1">
      <c r="A200" s="9"/>
      <c r="B200" s="62">
        <v>7.0</v>
      </c>
      <c r="C200" s="38" t="s">
        <v>326</v>
      </c>
      <c r="D200" s="288">
        <f t="shared" si="11"/>
        <v>3</v>
      </c>
      <c r="E200" s="243">
        <f>COUNTIF(LCB!$C$4:$C$40,C200)</f>
        <v>0</v>
      </c>
      <c r="F200" s="243">
        <f>COUNTIF(LM!$C$4:$C$144,C200)</f>
        <v>0</v>
      </c>
      <c r="G200" s="243">
        <f>COUNTIF(LO!$C$4:$C$227,C200)</f>
        <v>1</v>
      </c>
      <c r="H200" s="243">
        <f>COUNTIF(LE!$C$4:$C$214,C200)</f>
        <v>0</v>
      </c>
      <c r="I200" s="289">
        <f>COUNTIF(LN!$C$4:$C$53,C200)</f>
        <v>0</v>
      </c>
      <c r="J200" s="289">
        <f>COUNTIF(LCE!$C$3:$C$43,C200)</f>
        <v>0</v>
      </c>
      <c r="K200" s="289">
        <f>COUNTIF(LI!$C$4:$C$60,C200)</f>
        <v>1</v>
      </c>
      <c r="L200" s="289">
        <f>COUNTIF(LAP!$C$5:$C$45,C200)</f>
        <v>0</v>
      </c>
      <c r="M200" s="289">
        <f>COUNTIF(LGDM!$C$4:$C$22,C200)</f>
        <v>0</v>
      </c>
      <c r="N200" s="289">
        <f>COUNTIF(LAM!$C$5:$C$21,C200)</f>
        <v>0</v>
      </c>
      <c r="O200" s="243">
        <f>COUNTIF(DEP!$C$3:$C$61,C200)</f>
        <v>1</v>
      </c>
      <c r="P200" s="291">
        <f>SUMIF(LCB!$C$4:$C$45,C200,LCB!$F$4:$F$45)+SUMIF(LM!$C$4:$C$140,C200,LM!$F$4:$F$140)+SUMIF(LO!$C$4:$C$230,C200,LO!$F$4:$F$230)+SUMIF(LE!$C$4:$C$200,C200,LE!$F$4:$F$200)+SUMIF(LN!$C$4:$C$48,C200,LN!$F$4:$F$48)+SUMIF(LCE!$C$4:$C$40,C200,LCE!$F$4:$F$40)+SUMIF(LI!$C$4:$C$55,C200,LI!$F$4:$F$55)+SUMIF(LAP!$C$4:$C$45,C200,LAP!$F$4:$F$45)+SUMIF(LGDM!$C$4:$C$22,C200,LGDM!$F$4:$F$22)+SUMIF(LAM!$C$4:$C$18,C200,LAM!$F$4:$F$18)+SUMIF(DEP!$C$4:$C$55,C200,DEP!$F$4:$F$55)</f>
        <v>51</v>
      </c>
      <c r="Q200" s="243">
        <f>SUMIF(LCB!$C$4:$C$45,C200,LCB!$E$4:$E$45)+SUMIF(LM!$C$4:$C$140,C200,LM!$E$4:$E$140)+SUMIF(LO!$C$4:$C$230,C200,LO!$E$4:$E$230)+SUMIF(LE!$C$4:$C$200,C200,LE!$E$4:$E$200)+SUMIF(LN!$C$4:$C$48,C200,LN!$E$4:$E$48)+SUMIF(LCE!$C$4:$C$40,C200,LCE!$E$4:$E$40)+SUMIF(LI!$C$4:$C$55,C200,LI!$E$4:$E$55)+SUMIF(LAP!$C$4:$C$45,C200,LAP!$E$4:$E$45)+SUMIF(LGDM!$C$4:$C$15,C200,LGDM!$E$4:$E$15)+SUMIF(LAM!$C$5:$C$18,C200,LAM!$E$5:$E$18)+SUMIF(DEP!$C$4:$C$55,C200,DEP!$E$4:$E$55)</f>
        <v>14</v>
      </c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ht="13.5" customHeight="1">
      <c r="A201" s="9"/>
      <c r="B201" s="62">
        <v>8.0</v>
      </c>
      <c r="C201" s="38" t="s">
        <v>661</v>
      </c>
      <c r="D201" s="288">
        <f t="shared" si="11"/>
        <v>1</v>
      </c>
      <c r="E201" s="243">
        <f>COUNTIF(LCB!$C$4:$C$40,C201)</f>
        <v>0</v>
      </c>
      <c r="F201" s="243">
        <f>COUNTIF(LM!$C$4:$C$144,C201)</f>
        <v>0</v>
      </c>
      <c r="G201" s="243">
        <f>COUNTIF(LO!$C$4:$C$227,C201)</f>
        <v>0</v>
      </c>
      <c r="H201" s="243">
        <f>COUNTIF(LE!$C$4:$C$214,C201)</f>
        <v>0</v>
      </c>
      <c r="I201" s="289">
        <f>COUNTIF(LN!$C$4:$C$53,C201)</f>
        <v>0</v>
      </c>
      <c r="J201" s="289">
        <f>COUNTIF(LCE!$C$3:$C$43,C201)</f>
        <v>0</v>
      </c>
      <c r="K201" s="289">
        <f>COUNTIF(LI!$C$4:$C$60,C201)</f>
        <v>0</v>
      </c>
      <c r="L201" s="289">
        <f>COUNTIF(LAP!$C$5:$C$45,C201)</f>
        <v>0</v>
      </c>
      <c r="M201" s="289">
        <f>COUNTIF(LGDM!$C$4:$C$22,C201)</f>
        <v>0</v>
      </c>
      <c r="N201" s="289">
        <f>COUNTIF(LAM!$C$5:$C$21,C201)</f>
        <v>0</v>
      </c>
      <c r="O201" s="243">
        <f>COUNTIF(DEP!$C$3:$C$61,C201)</f>
        <v>1</v>
      </c>
      <c r="P201" s="291">
        <f>SUMIF(LCB!$C$4:$C$45,C201,LCB!$F$4:$F$45)+SUMIF(LM!$C$4:$C$140,C201,LM!$F$4:$F$140)+SUMIF(LO!$C$4:$C$230,C201,LO!$F$4:$F$230)+SUMIF(LE!$C$4:$C$200,C201,LE!$F$4:$F$200)+SUMIF(LN!$C$4:$C$48,C201,LN!$F$4:$F$48)+SUMIF(LCE!$C$4:$C$40,C201,LCE!$F$4:$F$40)+SUMIF(LI!$C$4:$C$55,C201,LI!$F$4:$F$55)+SUMIF(LAP!$C$4:$C$45,C201,LAP!$F$4:$F$45)+SUMIF(LGDM!$C$4:$C$22,C201,LGDM!$F$4:$F$22)+SUMIF(LAM!$C$4:$C$18,C201,LAM!$F$4:$F$18)+SUMIF(DEP!$C$4:$C$55,C201,DEP!$F$4:$F$55)</f>
        <v>0</v>
      </c>
      <c r="Q201" s="243">
        <f>SUMIF(LCB!$C$4:$C$45,C201,LCB!$E$4:$E$45)+SUMIF(LM!$C$4:$C$140,C201,LM!$E$4:$E$140)+SUMIF(LO!$C$4:$C$230,C201,LO!$E$4:$E$230)+SUMIF(LE!$C$4:$C$200,C201,LE!$E$4:$E$200)+SUMIF(LN!$C$4:$C$48,C201,LN!$E$4:$E$48)+SUMIF(LCE!$C$4:$C$40,C201,LCE!$E$4:$E$40)+SUMIF(LI!$C$4:$C$55,C201,LI!$E$4:$E$55)+SUMIF(LAP!$C$4:$C$45,C201,LAP!$E$4:$E$45)+SUMIF(LGDM!$C$4:$C$15,C201,LGDM!$E$4:$E$15)+SUMIF(LAM!$C$5:$C$18,C201,LAM!$E$5:$E$18)+SUMIF(DEP!$C$4:$C$55,C201,DEP!$E$4:$E$55)</f>
        <v>4</v>
      </c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</row>
    <row r="202" ht="13.5" customHeight="1">
      <c r="A202" s="9"/>
      <c r="B202" s="62">
        <v>9.0</v>
      </c>
      <c r="C202" s="38" t="s">
        <v>670</v>
      </c>
      <c r="D202" s="288">
        <f t="shared" si="11"/>
        <v>3</v>
      </c>
      <c r="E202" s="243">
        <f>COUNTIF(LCB!$C$4:$C$40,C202)</f>
        <v>0</v>
      </c>
      <c r="F202" s="243">
        <f>COUNTIF(LM!$C$4:$C$144,C202)</f>
        <v>0</v>
      </c>
      <c r="G202" s="243">
        <f>COUNTIF(LO!$C$4:$C$227,C202)</f>
        <v>0</v>
      </c>
      <c r="H202" s="243">
        <f>COUNTIF(LE!$C$4:$C$214,C202)</f>
        <v>0</v>
      </c>
      <c r="I202" s="289">
        <f>COUNTIF(LN!$C$4:$C$53,C202)</f>
        <v>0</v>
      </c>
      <c r="J202" s="289">
        <f>COUNTIF(LCE!$C$3:$C$43,C202)</f>
        <v>0</v>
      </c>
      <c r="K202" s="289">
        <f>COUNTIF(LI!$C$4:$C$60,C202)</f>
        <v>0</v>
      </c>
      <c r="L202" s="289">
        <f>COUNTIF(LAP!$C$5:$C$45,C202)</f>
        <v>0</v>
      </c>
      <c r="M202" s="289">
        <f>COUNTIF(LGDM!$C$4:$C$22,C202)</f>
        <v>0</v>
      </c>
      <c r="N202" s="289">
        <f>COUNTIF(LAM!$C$5:$C$21,C202)</f>
        <v>0</v>
      </c>
      <c r="O202" s="243">
        <f>COUNTIF(DEP!$C$3:$C$61,C202)</f>
        <v>3</v>
      </c>
      <c r="P202" s="291">
        <f>SUMIF(LCB!$C$4:$C$45,C202,LCB!$F$4:$F$45)+SUMIF(LM!$C$4:$C$140,C202,LM!$F$4:$F$140)+SUMIF(LO!$C$4:$C$230,C202,LO!$F$4:$F$230)+SUMIF(LE!$C$4:$C$200,C202,LE!$F$4:$F$200)+SUMIF(LN!$C$4:$C$48,C202,LN!$F$4:$F$48)+SUMIF(LCE!$C$4:$C$40,C202,LCE!$F$4:$F$40)+SUMIF(LI!$C$4:$C$55,C202,LI!$F$4:$F$55)+SUMIF(LAP!$C$4:$C$45,C202,LAP!$F$4:$F$45)+SUMIF(LGDM!$C$4:$C$22,C202,LGDM!$F$4:$F$22)+SUMIF(LAM!$C$4:$C$18,C202,LAM!$F$4:$F$18)+SUMIF(DEP!$C$4:$C$55,C202,DEP!$F$4:$F$55)</f>
        <v>0</v>
      </c>
      <c r="Q202" s="243">
        <f>SUMIF(LCB!$C$4:$C$45,C202,LCB!$E$4:$E$45)+SUMIF(LM!$C$4:$C$140,C202,LM!$E$4:$E$140)+SUMIF(LO!$C$4:$C$230,C202,LO!$E$4:$E$230)+SUMIF(LE!$C$4:$C$200,C202,LE!$E$4:$E$200)+SUMIF(LN!$C$4:$C$48,C202,LN!$E$4:$E$48)+SUMIF(LCE!$C$4:$C$40,C202,LCE!$E$4:$E$40)+SUMIF(LI!$C$4:$C$55,C202,LI!$E$4:$E$55)+SUMIF(LAP!$C$4:$C$45,C202,LAP!$E$4:$E$45)+SUMIF(LGDM!$C$4:$C$15,C202,LGDM!$E$4:$E$15)+SUMIF(LAM!$C$5:$C$18,C202,LAM!$E$5:$E$18)+SUMIF(DEP!$C$4:$C$55,C202,DEP!$E$4:$E$55)</f>
        <v>12</v>
      </c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ht="13.5" customHeight="1">
      <c r="A203" s="9"/>
      <c r="B203" s="62">
        <v>10.0</v>
      </c>
      <c r="C203" s="38" t="s">
        <v>60</v>
      </c>
      <c r="D203" s="288">
        <f t="shared" si="11"/>
        <v>3</v>
      </c>
      <c r="E203" s="243">
        <f>COUNTIF(LCB!$C$4:$C$40,C203)</f>
        <v>0</v>
      </c>
      <c r="F203" s="243">
        <f>COUNTIF(LM!$C$4:$C$144,C203)</f>
        <v>0</v>
      </c>
      <c r="G203" s="243">
        <f>COUNTIF(LO!$C$4:$C$227,C203)</f>
        <v>1</v>
      </c>
      <c r="H203" s="243">
        <f>COUNTIF(LE!$C$4:$C$214,C203)</f>
        <v>0</v>
      </c>
      <c r="I203" s="289">
        <f>COUNTIF(LN!$C$4:$C$53,C203)</f>
        <v>0</v>
      </c>
      <c r="J203" s="289">
        <f>COUNTIF(LCE!$C$3:$C$43,C203)</f>
        <v>0</v>
      </c>
      <c r="K203" s="289">
        <f>COUNTIF(LI!$C$4:$C$60,C203)</f>
        <v>0</v>
      </c>
      <c r="L203" s="289">
        <f>COUNTIF(LAP!$C$5:$C$45,C203)</f>
        <v>1</v>
      </c>
      <c r="M203" s="289">
        <f>COUNTIF(LGDM!$C$4:$C$22,C203)</f>
        <v>0</v>
      </c>
      <c r="N203" s="289">
        <f>COUNTIF(LAM!$C$5:$C$21,C203)</f>
        <v>0</v>
      </c>
      <c r="O203" s="243">
        <f>COUNTIF(DEP!$C$3:$C$61,C203)</f>
        <v>1</v>
      </c>
      <c r="P203" s="291">
        <f>SUMIF(LCB!$C$4:$C$45,C203,LCB!$F$4:$F$45)+SUMIF(LM!$C$4:$C$140,C203,LM!$F$4:$F$140)+SUMIF(LO!$C$4:$C$230,C203,LO!$F$4:$F$230)+SUMIF(LE!$C$4:$C$200,C203,LE!$F$4:$F$200)+SUMIF(LN!$C$4:$C$48,C203,LN!$F$4:$F$48)+SUMIF(LCE!$C$4:$C$40,C203,LCE!$F$4:$F$40)+SUMIF(LI!$C$4:$C$55,C203,LI!$F$4:$F$55)+SUMIF(LAP!$C$4:$C$45,C203,LAP!$F$4:$F$45)+SUMIF(LGDM!$C$4:$C$22,C203,LGDM!$F$4:$F$22)+SUMIF(LAM!$C$4:$C$18,C203,LAM!$F$4:$F$18)+SUMIF(DEP!$C$4:$C$55,C203,DEP!$F$4:$F$55)</f>
        <v>7</v>
      </c>
      <c r="Q203" s="243">
        <f>SUMIF(LCB!$C$4:$C$45,C203,LCB!$E$4:$E$45)+SUMIF(LM!$C$4:$C$140,C203,LM!$E$4:$E$140)+SUMIF(LO!$C$4:$C$230,C203,LO!$E$4:$E$230)+SUMIF(LE!$C$4:$C$200,C203,LE!$E$4:$E$200)+SUMIF(LN!$C$4:$C$48,C203,LN!$E$4:$E$48)+SUMIF(LCE!$C$4:$C$40,C203,LCE!$E$4:$E$40)+SUMIF(LI!$C$4:$C$55,C203,LI!$E$4:$E$55)+SUMIF(LAP!$C$4:$C$45,C203,LAP!$E$4:$E$45)+SUMIF(LGDM!$C$4:$C$15,C203,LGDM!$E$4:$E$15)+SUMIF(LAM!$C$5:$C$18,C203,LAM!$E$5:$E$18)+SUMIF(DEP!$C$4:$C$55,C203,DEP!$E$4:$E$55)</f>
        <v>14</v>
      </c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</row>
    <row r="204" ht="15.75" customHeight="1">
      <c r="A204" s="9"/>
      <c r="B204" s="62">
        <v>11.0</v>
      </c>
      <c r="C204" s="38" t="s">
        <v>226</v>
      </c>
      <c r="D204" s="288">
        <f t="shared" si="11"/>
        <v>3</v>
      </c>
      <c r="E204" s="243">
        <f>COUNTIF(LCB!$C$4:$C$40,C204)</f>
        <v>0</v>
      </c>
      <c r="F204" s="243">
        <f>COUNTIF(LM!$C$4:$C$144,C204)</f>
        <v>0</v>
      </c>
      <c r="G204" s="243">
        <f>COUNTIF(LO!$C$4:$C$227,C204)</f>
        <v>2</v>
      </c>
      <c r="H204" s="243">
        <f>COUNTIF(LE!$C$4:$C$214,C204)</f>
        <v>0</v>
      </c>
      <c r="I204" s="289">
        <f>COUNTIF(LN!$C$4:$C$53,C204)</f>
        <v>0</v>
      </c>
      <c r="J204" s="289">
        <f>COUNTIF(LCE!$C$3:$C$43,C204)</f>
        <v>0</v>
      </c>
      <c r="K204" s="289">
        <f>COUNTIF(LI!$C$4:$C$60,C204)</f>
        <v>0</v>
      </c>
      <c r="L204" s="289">
        <f>COUNTIF(LAP!$C$5:$C$45,C204)</f>
        <v>0</v>
      </c>
      <c r="M204" s="289">
        <f>COUNTIF(LGDM!$C$4:$C$22,C204)</f>
        <v>0</v>
      </c>
      <c r="N204" s="289">
        <f>COUNTIF(LAM!$C$5:$C$21,C204)</f>
        <v>0</v>
      </c>
      <c r="O204" s="243">
        <f>COUNTIF(DEP!$C$3:$C$61,C204)</f>
        <v>1</v>
      </c>
      <c r="P204" s="291">
        <f>SUMIF(LCB!$C$4:$C$45,C204,LCB!$F$4:$F$45)+SUMIF(LM!$C$4:$C$140,C204,LM!$F$4:$F$140)+SUMIF(LO!$C$4:$C$230,C204,LO!$F$4:$F$230)+SUMIF(LE!$C$4:$C$200,C204,LE!$F$4:$F$200)+SUMIF(LN!$C$4:$C$48,C204,LN!$F$4:$F$48)+SUMIF(LCE!$C$4:$C$40,C204,LCE!$F$4:$F$40)+SUMIF(LI!$C$4:$C$55,C204,LI!$F$4:$F$55)+SUMIF(LAP!$C$4:$C$45,C204,LAP!$F$4:$F$45)+SUMIF(LGDM!$C$4:$C$22,C204,LGDM!$F$4:$F$22)+SUMIF(LAM!$C$4:$C$18,C204,LAM!$F$4:$F$18)+SUMIF(DEP!$C$4:$C$55,C204,DEP!$F$4:$F$55)</f>
        <v>80</v>
      </c>
      <c r="Q204" s="243">
        <f>SUMIF(LCB!$C$4:$C$45,C204,LCB!$E$4:$E$45)+SUMIF(LM!$C$4:$C$140,C204,LM!$E$4:$E$140)+SUMIF(LO!$C$4:$C$230,C204,LO!$E$4:$E$230)+SUMIF(LE!$C$4:$C$200,C204,LE!$E$4:$E$200)+SUMIF(LN!$C$4:$C$48,C204,LN!$E$4:$E$48)+SUMIF(LCE!$C$4:$C$40,C204,LCE!$E$4:$E$40)+SUMIF(LI!$C$4:$C$55,C204,LI!$E$4:$E$55)+SUMIF(LAP!$C$4:$C$45,C204,LAP!$E$4:$E$45)+SUMIF(LGDM!$C$4:$C$15,C204,LGDM!$E$4:$E$15)+SUMIF(LAM!$C$5:$C$18,C204,LAM!$E$5:$E$18)+SUMIF(DEP!$C$4:$C$55,C204,DEP!$E$4:$E$55)</f>
        <v>14</v>
      </c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</row>
    <row r="205" ht="15.75" customHeight="1">
      <c r="A205" s="9"/>
      <c r="B205" s="62">
        <v>12.0</v>
      </c>
      <c r="C205" s="38" t="s">
        <v>108</v>
      </c>
      <c r="D205" s="288">
        <f t="shared" si="11"/>
        <v>3</v>
      </c>
      <c r="E205" s="243">
        <f>COUNTIF(LCB!$C$4:$C$40,C205)</f>
        <v>0</v>
      </c>
      <c r="F205" s="243">
        <f>COUNTIF(LM!$C$4:$C$144,C205)</f>
        <v>0</v>
      </c>
      <c r="G205" s="243">
        <f>COUNTIF(LO!$C$4:$C$227,C205)</f>
        <v>1</v>
      </c>
      <c r="H205" s="243">
        <f>COUNTIF(LE!$C$4:$C$214,C205)</f>
        <v>0</v>
      </c>
      <c r="I205" s="289">
        <f>COUNTIF(LN!$C$4:$C$53,C205)</f>
        <v>0</v>
      </c>
      <c r="J205" s="289">
        <f>COUNTIF(LCE!$C$3:$C$43,C205)</f>
        <v>0</v>
      </c>
      <c r="K205" s="289">
        <f>COUNTIF(LI!$C$4:$C$60,C205)</f>
        <v>0</v>
      </c>
      <c r="L205" s="289">
        <f>COUNTIF(LAP!$C$5:$C$45,C205)</f>
        <v>0</v>
      </c>
      <c r="M205" s="289">
        <f>COUNTIF(LGDM!$C$4:$C$22,C205)</f>
        <v>0</v>
      </c>
      <c r="N205" s="289">
        <f>COUNTIF(LAM!$C$5:$C$21,C205)</f>
        <v>0</v>
      </c>
      <c r="O205" s="243">
        <f>COUNTIF(DEP!$C$3:$C$61,C205)</f>
        <v>2</v>
      </c>
      <c r="P205" s="291">
        <f>SUMIF(LCB!$C$4:$C$45,C205,LCB!$F$4:$F$45)+SUMIF(LM!$C$4:$C$140,C205,LM!$F$4:$F$140)+SUMIF(LO!$C$4:$C$230,C205,LO!$F$4:$F$230)+SUMIF(LE!$C$4:$C$200,C205,LE!$F$4:$F$200)+SUMIF(LN!$C$4:$C$48,C205,LN!$F$4:$F$48)+SUMIF(LCE!$C$4:$C$40,C205,LCE!$F$4:$F$40)+SUMIF(LI!$C$4:$C$55,C205,LI!$F$4:$F$55)+SUMIF(LAP!$C$4:$C$45,C205,LAP!$F$4:$F$45)+SUMIF(LGDM!$C$4:$C$22,C205,LGDM!$F$4:$F$22)+SUMIF(LAM!$C$4:$C$18,C205,LAM!$F$4:$F$18)+SUMIF(DEP!$C$4:$C$55,C205,DEP!$F$4:$F$55)</f>
        <v>0</v>
      </c>
      <c r="Q205" s="243">
        <f>SUMIF(LCB!$C$4:$C$45,C205,LCB!$E$4:$E$45)+SUMIF(LM!$C$4:$C$140,C205,LM!$E$4:$E$140)+SUMIF(LO!$C$4:$C$230,C205,LO!$E$4:$E$230)+SUMIF(LE!$C$4:$C$200,C205,LE!$E$4:$E$200)+SUMIF(LN!$C$4:$C$48,C205,LN!$E$4:$E$48)+SUMIF(LCE!$C$4:$C$40,C205,LCE!$E$4:$E$40)+SUMIF(LI!$C$4:$C$55,C205,LI!$E$4:$E$55)+SUMIF(LAP!$C$4:$C$45,C205,LAP!$E$4:$E$45)+SUMIF(LGDM!$C$4:$C$15,C205,LGDM!$E$4:$E$15)+SUMIF(LAM!$C$5:$C$18,C205,LAM!$E$5:$E$18)+SUMIF(DEP!$C$4:$C$55,C205,DEP!$E$4:$E$55)</f>
        <v>15</v>
      </c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</row>
    <row r="206" ht="13.5" customHeight="1">
      <c r="A206" s="9"/>
      <c r="B206" s="62">
        <v>13.0</v>
      </c>
      <c r="C206" s="38" t="s">
        <v>631</v>
      </c>
      <c r="D206" s="288">
        <f t="shared" si="11"/>
        <v>3</v>
      </c>
      <c r="E206" s="243">
        <f>COUNTIF(LCB!$C$4:$C$40,C206)</f>
        <v>0</v>
      </c>
      <c r="F206" s="243">
        <f>COUNTIF(LM!$C$4:$C$144,C206)</f>
        <v>0</v>
      </c>
      <c r="G206" s="243">
        <f>COUNTIF(LO!$C$4:$C$227,C206)</f>
        <v>0</v>
      </c>
      <c r="H206" s="243">
        <f>COUNTIF(LE!$C$4:$C$214,C206)</f>
        <v>0</v>
      </c>
      <c r="I206" s="289">
        <f>COUNTIF(LN!$C$4:$C$53,C206)</f>
        <v>0</v>
      </c>
      <c r="J206" s="289">
        <f>COUNTIF(LCE!$C$3:$C$43,C206)</f>
        <v>0</v>
      </c>
      <c r="K206" s="289">
        <f>COUNTIF(LI!$C$4:$C$60,C206)</f>
        <v>0</v>
      </c>
      <c r="L206" s="289">
        <f>COUNTIF(LAP!$C$5:$C$45,C206)</f>
        <v>0</v>
      </c>
      <c r="M206" s="289">
        <f>COUNTIF(LGDM!$C$4:$C$22,C206)</f>
        <v>0</v>
      </c>
      <c r="N206" s="289">
        <f>COUNTIF(LAM!$C$5:$C$21,C206)</f>
        <v>1</v>
      </c>
      <c r="O206" s="243">
        <f>COUNTIF(DEP!$C$3:$C$61,C206)</f>
        <v>2</v>
      </c>
      <c r="P206" s="291">
        <f>SUMIF(LCB!$C$4:$C$45,C206,LCB!$F$4:$F$45)+SUMIF(LM!$C$4:$C$140,C206,LM!$F$4:$F$140)+SUMIF(LO!$C$4:$C$230,C206,LO!$F$4:$F$230)+SUMIF(LE!$C$4:$C$200,C206,LE!$F$4:$F$200)+SUMIF(LN!$C$4:$C$48,C206,LN!$F$4:$F$48)+SUMIF(LCE!$C$4:$C$40,C206,LCE!$F$4:$F$40)+SUMIF(LI!$C$4:$C$55,C206,LI!$F$4:$F$55)+SUMIF(LAP!$C$4:$C$45,C206,LAP!$F$4:$F$45)+SUMIF(LGDM!$C$4:$C$22,C206,LGDM!$F$4:$F$22)+SUMIF(LAM!$C$4:$C$18,C206,LAM!$F$4:$F$18)+SUMIF(DEP!$C$4:$C$55,C206,DEP!$F$4:$F$55)</f>
        <v>5</v>
      </c>
      <c r="Q206" s="243">
        <f>SUMIF(LCB!$C$4:$C$45,C206,LCB!$E$4:$E$45)+SUMIF(LM!$C$4:$C$140,C206,LM!$E$4:$E$140)+SUMIF(LO!$C$4:$C$230,C206,LO!$E$4:$E$230)+SUMIF(LE!$C$4:$C$200,C206,LE!$E$4:$E$200)+SUMIF(LN!$C$4:$C$48,C206,LN!$E$4:$E$48)+SUMIF(LCE!$C$4:$C$40,C206,LCE!$E$4:$E$40)+SUMIF(LI!$C$4:$C$55,C206,LI!$E$4:$E$55)+SUMIF(LAP!$C$4:$C$45,C206,LAP!$E$4:$E$45)+SUMIF(LGDM!$C$4:$C$15,C206,LGDM!$E$4:$E$15)+SUMIF(LAM!$C$5:$C$18,C206,LAM!$E$5:$E$18)+SUMIF(DEP!$C$4:$C$55,C206,DEP!$E$4:$E$55)</f>
        <v>13</v>
      </c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</row>
    <row r="207" ht="13.5" customHeight="1">
      <c r="A207" s="9"/>
      <c r="B207" s="62">
        <v>14.0</v>
      </c>
      <c r="C207" s="173" t="s">
        <v>636</v>
      </c>
      <c r="D207" s="288">
        <f t="shared" si="11"/>
        <v>2</v>
      </c>
      <c r="E207" s="243">
        <f>COUNTIF(LCB!$C$4:$C$40,C207)</f>
        <v>0</v>
      </c>
      <c r="F207" s="243">
        <f>COUNTIF(LM!$C$4:$C$144,C207)</f>
        <v>0</v>
      </c>
      <c r="G207" s="243">
        <f>COUNTIF(LO!$C$4:$C$227,C207)</f>
        <v>0</v>
      </c>
      <c r="H207" s="243">
        <f>COUNTIF(LE!$C$4:$C$214,C207)</f>
        <v>0</v>
      </c>
      <c r="I207" s="289">
        <f>COUNTIF(LN!$C$4:$C$53,C207)</f>
        <v>0</v>
      </c>
      <c r="J207" s="289">
        <f>COUNTIF(LCE!$C$3:$C$43,C207)</f>
        <v>0</v>
      </c>
      <c r="K207" s="289">
        <f>COUNTIF(LI!$C$4:$C$60,C207)</f>
        <v>0</v>
      </c>
      <c r="L207" s="289">
        <f>COUNTIF(LAP!$C$5:$C$45,C207)</f>
        <v>0</v>
      </c>
      <c r="M207" s="289">
        <f>COUNTIF(LGDM!$C$4:$C$22,C207)</f>
        <v>0</v>
      </c>
      <c r="N207" s="289">
        <f>COUNTIF(LAM!$C$5:$C$21,C207)</f>
        <v>1</v>
      </c>
      <c r="O207" s="243">
        <f>COUNTIF(DEP!$C$3:$C$61,C207)</f>
        <v>1</v>
      </c>
      <c r="P207" s="291">
        <f>SUMIF(LCB!$C$4:$C$45,C207,LCB!$F$4:$F$45)+SUMIF(LM!$C$4:$C$140,C207,LM!$F$4:$F$140)+SUMIF(LO!$C$4:$C$230,C207,LO!$F$4:$F$230)+SUMIF(LE!$C$4:$C$200,C207,LE!$F$4:$F$200)+SUMIF(LN!$C$4:$C$48,C207,LN!$F$4:$F$48)+SUMIF(LCE!$C$4:$C$40,C207,LCE!$F$4:$F$40)+SUMIF(LI!$C$4:$C$55,C207,LI!$F$4:$F$55)+SUMIF(LAP!$C$4:$C$45,C207,LAP!$F$4:$F$45)+SUMIF(LGDM!$C$4:$C$22,C207,LGDM!$F$4:$F$22)+SUMIF(LAM!$C$4:$C$18,C207,LAM!$F$4:$F$18)+SUMIF(DEP!$C$4:$C$55,C207,DEP!$F$4:$F$55)</f>
        <v>5</v>
      </c>
      <c r="Q207" s="243">
        <f>SUMIF(LCB!$C$4:$C$45,C207,LCB!$E$4:$E$45)+SUMIF(LM!$C$4:$C$140,C207,LM!$E$4:$E$140)+SUMIF(LO!$C$4:$C$230,C207,LO!$E$4:$E$230)+SUMIF(LE!$C$4:$C$200,C207,LE!$E$4:$E$200)+SUMIF(LN!$C$4:$C$48,C207,LN!$E$4:$E$48)+SUMIF(LCE!$C$4:$C$40,C207,LCE!$E$4:$E$40)+SUMIF(LI!$C$4:$C$55,C207,LI!$E$4:$E$55)+SUMIF(LAP!$C$4:$C$45,C207,LAP!$E$4:$E$45)+SUMIF(LGDM!$C$4:$C$15,C207,LGDM!$E$4:$E$15)+SUMIF(LAM!$C$5:$C$18,C207,LAM!$E$5:$E$18)+SUMIF(DEP!$C$4:$C$55,C207,DEP!$E$4:$E$55)</f>
        <v>9</v>
      </c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</row>
    <row r="208" ht="13.5" customHeight="1">
      <c r="A208" s="9"/>
      <c r="B208" s="62">
        <v>15.0</v>
      </c>
      <c r="C208" s="38" t="s">
        <v>55</v>
      </c>
      <c r="D208" s="288">
        <f t="shared" si="11"/>
        <v>4</v>
      </c>
      <c r="E208" s="243">
        <f>COUNTIF(LCB!$C$4:$C$40,C208)</f>
        <v>0</v>
      </c>
      <c r="F208" s="243">
        <f>COUNTIF(LM!$C$4:$C$144,C208)</f>
        <v>0</v>
      </c>
      <c r="G208" s="243">
        <f>COUNTIF(LO!$C$4:$C$227,C208)</f>
        <v>0</v>
      </c>
      <c r="H208" s="243">
        <f>COUNTIF(LE!$C$4:$C$214,C208)</f>
        <v>2</v>
      </c>
      <c r="I208" s="289">
        <f>COUNTIF(LN!$C$4:$C$53,C208)</f>
        <v>0</v>
      </c>
      <c r="J208" s="289">
        <f>COUNTIF(LCE!$C$3:$C$43,C208)</f>
        <v>1</v>
      </c>
      <c r="K208" s="289">
        <f>COUNTIF(LI!$C$4:$C$60,C208)</f>
        <v>0</v>
      </c>
      <c r="L208" s="289">
        <f>COUNTIF(LAP!$C$5:$C$45,C208)</f>
        <v>0</v>
      </c>
      <c r="M208" s="289">
        <f>COUNTIF(LGDM!$C$4:$C$22,C208)</f>
        <v>0</v>
      </c>
      <c r="N208" s="289">
        <f>COUNTIF(LAM!$C$5:$C$21,C208)</f>
        <v>0</v>
      </c>
      <c r="O208" s="243">
        <f>COUNTIF(DEP!$C$3:$C$61,C208)</f>
        <v>1</v>
      </c>
      <c r="P208" s="291">
        <f>SUMIF(LCB!$C$4:$C$45,C208,LCB!$F$4:$F$45)+SUMIF(LM!$C$4:$C$140,C208,LM!$F$4:$F$140)+SUMIF(LO!$C$4:$C$230,C208,LO!$F$4:$F$230)+SUMIF(LE!$C$4:$C$200,C208,LE!$F$4:$F$200)+SUMIF(LN!$C$4:$C$48,C208,LN!$F$4:$F$48)+SUMIF(LCE!$C$4:$C$40,C208,LCE!$F$4:$F$40)+SUMIF(LI!$C$4:$C$55,C208,LI!$F$4:$F$55)+SUMIF(LAP!$C$4:$C$45,C208,LAP!$F$4:$F$45)+SUMIF(LGDM!$C$4:$C$22,C208,LGDM!$F$4:$F$22)+SUMIF(LAM!$C$4:$C$18,C208,LAM!$F$4:$F$18)+SUMIF(DEP!$C$4:$C$55,C208,DEP!$F$4:$F$55)</f>
        <v>28</v>
      </c>
      <c r="Q208" s="243">
        <f>SUMIF(LCB!$C$4:$C$45,C208,LCB!$E$4:$E$45)+SUMIF(LM!$C$4:$C$140,C208,LM!$E$4:$E$140)+SUMIF(LO!$C$4:$C$230,C208,LO!$E$4:$E$230)+SUMIF(LE!$C$4:$C$200,C208,LE!$E$4:$E$200)+SUMIF(LN!$C$4:$C$48,C208,LN!$E$4:$E$48)+SUMIF(LCE!$C$4:$C$40,C208,LCE!$E$4:$E$40)+SUMIF(LI!$C$4:$C$55,C208,LI!$E$4:$E$55)+SUMIF(LAP!$C$4:$C$45,C208,LAP!$E$4:$E$45)+SUMIF(LGDM!$C$4:$C$15,C208,LGDM!$E$4:$E$15)+SUMIF(LAM!$C$5:$C$18,C208,LAM!$E$5:$E$18)+SUMIF(DEP!$C$4:$C$55,C208,DEP!$E$4:$E$55)</f>
        <v>16</v>
      </c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</row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A1:Q1"/>
  </mergeCells>
  <conditionalFormatting sqref="D3:D17 D21:D50 D56:D74 R73 D79:D103 D114:D121 D129:D140 D146:D162 D169:D178 D184:D190 D194:D208">
    <cfRule type="cellIs" dxfId="6" priority="1" operator="lessThan">
      <formula>3</formula>
    </cfRule>
  </conditionalFormatting>
  <conditionalFormatting sqref="D3:D17 D21:D50 D56:D74 R73 D79:D103 D114:D121 D129:D140 D146:D162 D169:D178 D184:D190 D194:D208">
    <cfRule type="cellIs" dxfId="7" priority="2" operator="equal">
      <formula>3</formula>
    </cfRule>
  </conditionalFormatting>
  <conditionalFormatting sqref="D3:D17 D21:D50 D56:D74 R73 D79:D103 D114:D121 D129:D140 D146:D162 D169:D178 D184:D190 D194:D208">
    <cfRule type="cellIs" dxfId="8" priority="3" operator="greaterThan">
      <formula>3</formula>
    </cfRule>
  </conditionalFormatting>
  <printOptions/>
  <pageMargins bottom="0.354166666666667" footer="0.0" header="0.0" left="0.315277777777778" right="0.118055555555556" top="0.551388888888889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3" t="s">
        <v>23</v>
      </c>
      <c r="F1" s="294" t="s">
        <v>15</v>
      </c>
      <c r="K1" s="295" t="s">
        <v>46</v>
      </c>
      <c r="P1" s="296" t="s">
        <v>16</v>
      </c>
    </row>
    <row r="2">
      <c r="A2" s="297" t="s">
        <v>695</v>
      </c>
      <c r="B2" s="297" t="s">
        <v>696</v>
      </c>
      <c r="C2" s="144" t="s">
        <v>697</v>
      </c>
      <c r="D2" s="144" t="s">
        <v>698</v>
      </c>
      <c r="F2" s="297" t="s">
        <v>695</v>
      </c>
      <c r="G2" s="297" t="s">
        <v>696</v>
      </c>
      <c r="H2" s="144" t="s">
        <v>697</v>
      </c>
      <c r="I2" s="144" t="s">
        <v>698</v>
      </c>
      <c r="K2" s="297" t="s">
        <v>695</v>
      </c>
      <c r="L2" s="297" t="s">
        <v>696</v>
      </c>
      <c r="M2" s="144" t="s">
        <v>697</v>
      </c>
      <c r="N2" s="144" t="s">
        <v>698</v>
      </c>
      <c r="P2" s="297" t="s">
        <v>695</v>
      </c>
      <c r="Q2" s="297" t="s">
        <v>696</v>
      </c>
      <c r="R2" s="144" t="s">
        <v>697</v>
      </c>
      <c r="S2" s="144" t="s">
        <v>698</v>
      </c>
    </row>
    <row r="3">
      <c r="A3" s="297">
        <v>2.0</v>
      </c>
      <c r="B3" s="297">
        <v>2.0</v>
      </c>
      <c r="C3" s="201"/>
      <c r="D3" s="297">
        <f t="shared" ref="D3:D4" si="1">SUM(B3:C3)</f>
        <v>2</v>
      </c>
      <c r="F3" s="297">
        <v>2.0</v>
      </c>
      <c r="G3" s="297">
        <v>3.0</v>
      </c>
      <c r="H3" s="297">
        <v>1.0</v>
      </c>
      <c r="I3" s="297">
        <f t="shared" ref="I3:I8" si="2">SUM(G3:H3)</f>
        <v>4</v>
      </c>
      <c r="K3" s="297">
        <v>2.0</v>
      </c>
      <c r="L3" s="297">
        <v>9.0</v>
      </c>
      <c r="M3" s="297"/>
      <c r="N3" s="297">
        <f t="shared" ref="N3:N7" si="3">SUM(L3:M3)</f>
        <v>9</v>
      </c>
      <c r="P3" s="297">
        <v>2.0</v>
      </c>
      <c r="Q3" s="297">
        <v>9.0</v>
      </c>
      <c r="R3" s="297"/>
      <c r="S3" s="297">
        <f t="shared" ref="S3:S7" si="4">SUM(Q3:R3)</f>
        <v>9</v>
      </c>
    </row>
    <row r="4">
      <c r="A4" s="297">
        <v>4.0</v>
      </c>
      <c r="B4" s="297">
        <v>1.0</v>
      </c>
      <c r="C4" s="201"/>
      <c r="D4" s="297">
        <f t="shared" si="1"/>
        <v>1</v>
      </c>
      <c r="F4" s="297">
        <v>4.0</v>
      </c>
      <c r="G4" s="297">
        <v>3.0</v>
      </c>
      <c r="H4" s="297"/>
      <c r="I4" s="297">
        <f t="shared" si="2"/>
        <v>3</v>
      </c>
      <c r="K4" s="297">
        <v>4.0</v>
      </c>
      <c r="L4" s="297">
        <v>4.0</v>
      </c>
      <c r="M4" s="297"/>
      <c r="N4" s="297">
        <f t="shared" si="3"/>
        <v>4</v>
      </c>
      <c r="P4" s="297">
        <v>4.0</v>
      </c>
      <c r="Q4" s="297">
        <v>5.0</v>
      </c>
      <c r="R4" s="297">
        <v>1.0</v>
      </c>
      <c r="S4" s="297">
        <f t="shared" si="4"/>
        <v>6</v>
      </c>
    </row>
    <row r="5">
      <c r="C5" s="297" t="s">
        <v>699</v>
      </c>
      <c r="D5" s="201">
        <f>SUM(D3:D4)</f>
        <v>3</v>
      </c>
      <c r="E5" s="201">
        <f>D5</f>
        <v>3</v>
      </c>
      <c r="F5" s="297">
        <v>6.0</v>
      </c>
      <c r="G5" s="297">
        <v>3.0</v>
      </c>
      <c r="H5" s="297"/>
      <c r="I5" s="297">
        <f t="shared" si="2"/>
        <v>3</v>
      </c>
      <c r="K5" s="297">
        <v>6.0</v>
      </c>
      <c r="L5" s="297">
        <v>4.0</v>
      </c>
      <c r="M5" s="297"/>
      <c r="N5" s="297">
        <f t="shared" si="3"/>
        <v>4</v>
      </c>
      <c r="P5" s="297">
        <v>6.0</v>
      </c>
      <c r="Q5" s="297">
        <v>4.0</v>
      </c>
      <c r="R5" s="297"/>
      <c r="S5" s="297">
        <f t="shared" si="4"/>
        <v>4</v>
      </c>
    </row>
    <row r="6">
      <c r="E6" s="201"/>
      <c r="F6" s="297">
        <v>8.0</v>
      </c>
      <c r="G6" s="297">
        <v>2.0</v>
      </c>
      <c r="H6" s="297"/>
      <c r="I6" s="297">
        <f t="shared" si="2"/>
        <v>2</v>
      </c>
      <c r="K6" s="297">
        <v>8.0</v>
      </c>
      <c r="L6" s="297">
        <v>3.0</v>
      </c>
      <c r="M6" s="297"/>
      <c r="N6" s="297">
        <f t="shared" si="3"/>
        <v>3</v>
      </c>
      <c r="P6" s="297">
        <v>8.0</v>
      </c>
      <c r="Q6" s="297">
        <v>3.0</v>
      </c>
      <c r="R6" s="297"/>
      <c r="S6" s="297">
        <f t="shared" si="4"/>
        <v>3</v>
      </c>
    </row>
    <row r="7">
      <c r="E7" s="201"/>
      <c r="F7" s="297">
        <v>10.0</v>
      </c>
      <c r="G7" s="297">
        <v>3.0</v>
      </c>
      <c r="H7" s="297"/>
      <c r="I7" s="297">
        <f t="shared" si="2"/>
        <v>3</v>
      </c>
      <c r="K7" s="297">
        <v>10.0</v>
      </c>
      <c r="L7" s="297">
        <v>3.0</v>
      </c>
      <c r="M7" s="297"/>
      <c r="N7" s="297">
        <f t="shared" si="3"/>
        <v>3</v>
      </c>
      <c r="P7" s="297">
        <v>10.0</v>
      </c>
      <c r="Q7" s="297">
        <v>3.0</v>
      </c>
      <c r="R7" s="297"/>
      <c r="S7" s="297">
        <f t="shared" si="4"/>
        <v>3</v>
      </c>
    </row>
    <row r="8">
      <c r="E8" s="201"/>
      <c r="F8" s="297">
        <v>12.0</v>
      </c>
      <c r="G8" s="297">
        <v>3.0</v>
      </c>
      <c r="H8" s="297"/>
      <c r="I8" s="297">
        <f t="shared" si="2"/>
        <v>3</v>
      </c>
      <c r="M8" s="297" t="s">
        <v>699</v>
      </c>
      <c r="N8" s="297">
        <f>SUM(N3:N7)</f>
        <v>23</v>
      </c>
      <c r="O8" s="201">
        <f>N8</f>
        <v>23</v>
      </c>
      <c r="R8" s="297" t="s">
        <v>699</v>
      </c>
      <c r="S8" s="297">
        <f>SUM(S3:S7)</f>
        <v>25</v>
      </c>
      <c r="T8" s="201">
        <f>S8</f>
        <v>25</v>
      </c>
    </row>
    <row r="9">
      <c r="E9" s="201"/>
      <c r="H9" s="297" t="s">
        <v>699</v>
      </c>
      <c r="I9" s="297">
        <f>SUM(I3:I8)</f>
        <v>18</v>
      </c>
      <c r="J9" s="201">
        <f>I9</f>
        <v>18</v>
      </c>
      <c r="O9" s="201"/>
      <c r="T9" s="201"/>
    </row>
    <row r="10">
      <c r="E10" s="201"/>
      <c r="J10" s="201"/>
      <c r="O10" s="201"/>
      <c r="T10" s="201"/>
    </row>
    <row r="11">
      <c r="E11" s="201"/>
      <c r="J11" s="201"/>
      <c r="O11" s="201"/>
      <c r="T11" s="201"/>
    </row>
    <row r="12">
      <c r="E12" s="201"/>
      <c r="J12" s="201"/>
      <c r="O12" s="201"/>
      <c r="T12" s="201"/>
    </row>
    <row r="13">
      <c r="E13" s="201"/>
      <c r="J13" s="201"/>
      <c r="O13" s="201"/>
      <c r="T13" s="201"/>
    </row>
    <row r="14">
      <c r="A14" s="298" t="s">
        <v>252</v>
      </c>
      <c r="E14" s="201"/>
      <c r="F14" s="299" t="s">
        <v>41</v>
      </c>
      <c r="J14" s="201"/>
      <c r="K14" s="300" t="s">
        <v>48</v>
      </c>
      <c r="O14" s="201"/>
      <c r="P14" s="301" t="s">
        <v>58</v>
      </c>
      <c r="T14" s="201"/>
    </row>
    <row r="15">
      <c r="A15" s="297" t="s">
        <v>695</v>
      </c>
      <c r="B15" s="297" t="s">
        <v>696</v>
      </c>
      <c r="C15" s="144" t="s">
        <v>697</v>
      </c>
      <c r="D15" s="144" t="s">
        <v>698</v>
      </c>
      <c r="E15" s="201"/>
      <c r="F15" s="297" t="s">
        <v>695</v>
      </c>
      <c r="G15" s="297" t="s">
        <v>696</v>
      </c>
      <c r="H15" s="144" t="s">
        <v>697</v>
      </c>
      <c r="I15" s="144" t="s">
        <v>698</v>
      </c>
      <c r="J15" s="201"/>
      <c r="K15" s="297" t="s">
        <v>695</v>
      </c>
      <c r="L15" s="297" t="s">
        <v>696</v>
      </c>
      <c r="M15" s="144" t="s">
        <v>697</v>
      </c>
      <c r="N15" s="144" t="s">
        <v>698</v>
      </c>
      <c r="O15" s="201"/>
      <c r="P15" s="297" t="s">
        <v>695</v>
      </c>
      <c r="Q15" s="297" t="s">
        <v>696</v>
      </c>
      <c r="R15" s="144" t="s">
        <v>697</v>
      </c>
      <c r="S15" s="144" t="s">
        <v>698</v>
      </c>
      <c r="T15" s="201"/>
    </row>
    <row r="16">
      <c r="A16" s="297">
        <v>2.0</v>
      </c>
      <c r="B16" s="297">
        <v>2.0</v>
      </c>
      <c r="C16" s="297"/>
      <c r="D16" s="297">
        <f t="shared" ref="D16:D20" si="5">SUM(B16:C16)</f>
        <v>2</v>
      </c>
      <c r="E16" s="201"/>
      <c r="F16" s="297">
        <v>2.0</v>
      </c>
      <c r="G16" s="297">
        <v>2.0</v>
      </c>
      <c r="H16" s="297"/>
      <c r="I16" s="297">
        <f t="shared" ref="I16:I20" si="6">SUM(G16:H16)</f>
        <v>2</v>
      </c>
      <c r="J16" s="201"/>
      <c r="K16" s="297">
        <v>2.0</v>
      </c>
      <c r="L16" s="297">
        <v>2.0</v>
      </c>
      <c r="M16" s="297"/>
      <c r="N16" s="297">
        <f t="shared" ref="N16:N20" si="7">SUM(L16:M16)</f>
        <v>2</v>
      </c>
      <c r="O16" s="201"/>
      <c r="P16" s="297">
        <v>2.0</v>
      </c>
      <c r="Q16" s="297">
        <v>1.0</v>
      </c>
      <c r="R16" s="297"/>
      <c r="S16" s="297">
        <f t="shared" ref="S16:S20" si="8">SUM(Q16:R16)</f>
        <v>1</v>
      </c>
      <c r="T16" s="201"/>
    </row>
    <row r="17">
      <c r="A17" s="297">
        <v>4.0</v>
      </c>
      <c r="B17" s="297">
        <v>1.0</v>
      </c>
      <c r="C17" s="297"/>
      <c r="D17" s="297">
        <f t="shared" si="5"/>
        <v>1</v>
      </c>
      <c r="E17" s="201"/>
      <c r="F17" s="297">
        <v>4.0</v>
      </c>
      <c r="G17" s="297">
        <v>1.0</v>
      </c>
      <c r="H17" s="297"/>
      <c r="I17" s="297">
        <f t="shared" si="6"/>
        <v>1</v>
      </c>
      <c r="J17" s="201"/>
      <c r="K17" s="297">
        <v>4.0</v>
      </c>
      <c r="L17" s="297">
        <v>1.0</v>
      </c>
      <c r="M17" s="297"/>
      <c r="N17" s="297">
        <f t="shared" si="7"/>
        <v>1</v>
      </c>
      <c r="O17" s="201"/>
      <c r="P17" s="297">
        <v>4.0</v>
      </c>
      <c r="Q17" s="297">
        <v>1.0</v>
      </c>
      <c r="R17" s="297"/>
      <c r="S17" s="297">
        <f t="shared" si="8"/>
        <v>1</v>
      </c>
      <c r="T17" s="201"/>
    </row>
    <row r="18">
      <c r="A18" s="297">
        <v>6.0</v>
      </c>
      <c r="B18" s="297">
        <v>1.0</v>
      </c>
      <c r="C18" s="297"/>
      <c r="D18" s="297">
        <f t="shared" si="5"/>
        <v>1</v>
      </c>
      <c r="E18" s="201"/>
      <c r="F18" s="297">
        <v>6.0</v>
      </c>
      <c r="G18" s="297">
        <v>1.0</v>
      </c>
      <c r="H18" s="297"/>
      <c r="I18" s="297">
        <f t="shared" si="6"/>
        <v>1</v>
      </c>
      <c r="J18" s="201"/>
      <c r="K18" s="297">
        <v>6.0</v>
      </c>
      <c r="L18" s="297">
        <v>1.0</v>
      </c>
      <c r="M18" s="297"/>
      <c r="N18" s="297">
        <f t="shared" si="7"/>
        <v>1</v>
      </c>
      <c r="O18" s="201"/>
      <c r="P18" s="297">
        <v>6.0</v>
      </c>
      <c r="Q18" s="297">
        <v>1.0</v>
      </c>
      <c r="R18" s="297"/>
      <c r="S18" s="297">
        <f t="shared" si="8"/>
        <v>1</v>
      </c>
      <c r="T18" s="201"/>
    </row>
    <row r="19">
      <c r="A19" s="297">
        <v>8.0</v>
      </c>
      <c r="B19" s="297">
        <v>1.0</v>
      </c>
      <c r="C19" s="297"/>
      <c r="D19" s="297">
        <f t="shared" si="5"/>
        <v>1</v>
      </c>
      <c r="E19" s="201"/>
      <c r="F19" s="297">
        <v>8.0</v>
      </c>
      <c r="G19" s="297">
        <v>1.0</v>
      </c>
      <c r="H19" s="297"/>
      <c r="I19" s="297">
        <f t="shared" si="6"/>
        <v>1</v>
      </c>
      <c r="J19" s="201"/>
      <c r="K19" s="297">
        <v>8.0</v>
      </c>
      <c r="L19" s="297">
        <v>1.0</v>
      </c>
      <c r="M19" s="297">
        <v>1.0</v>
      </c>
      <c r="N19" s="297">
        <f t="shared" si="7"/>
        <v>2</v>
      </c>
      <c r="O19" s="201"/>
      <c r="P19" s="297">
        <v>8.0</v>
      </c>
      <c r="Q19" s="297">
        <v>1.0</v>
      </c>
      <c r="R19" s="297"/>
      <c r="S19" s="297">
        <f t="shared" si="8"/>
        <v>1</v>
      </c>
      <c r="T19" s="201"/>
    </row>
    <row r="20">
      <c r="A20" s="297">
        <v>10.0</v>
      </c>
      <c r="B20" s="297">
        <v>1.0</v>
      </c>
      <c r="C20" s="297"/>
      <c r="D20" s="297">
        <f t="shared" si="5"/>
        <v>1</v>
      </c>
      <c r="E20" s="201"/>
      <c r="F20" s="297">
        <v>10.0</v>
      </c>
      <c r="G20" s="297">
        <v>1.0</v>
      </c>
      <c r="H20" s="297"/>
      <c r="I20" s="297">
        <f t="shared" si="6"/>
        <v>1</v>
      </c>
      <c r="J20" s="201"/>
      <c r="K20" s="297">
        <v>10.0</v>
      </c>
      <c r="L20" s="297">
        <v>1.0</v>
      </c>
      <c r="M20" s="297"/>
      <c r="N20" s="297">
        <f t="shared" si="7"/>
        <v>1</v>
      </c>
      <c r="O20" s="201"/>
      <c r="P20" s="297">
        <v>10.0</v>
      </c>
      <c r="Q20" s="297">
        <v>1.0</v>
      </c>
      <c r="R20" s="297"/>
      <c r="S20" s="297">
        <f t="shared" si="8"/>
        <v>1</v>
      </c>
      <c r="T20" s="201"/>
    </row>
    <row r="21">
      <c r="C21" s="297" t="s">
        <v>699</v>
      </c>
      <c r="D21" s="297">
        <f>SUM(D16:D20)</f>
        <v>6</v>
      </c>
      <c r="E21" s="201">
        <f>D21</f>
        <v>6</v>
      </c>
      <c r="H21" s="297" t="s">
        <v>699</v>
      </c>
      <c r="I21" s="297">
        <f>SUM(I16:I20)</f>
        <v>6</v>
      </c>
      <c r="J21" s="201">
        <f>I21</f>
        <v>6</v>
      </c>
      <c r="M21" s="297" t="s">
        <v>699</v>
      </c>
      <c r="N21" s="297">
        <f>SUM(N16:N20)</f>
        <v>7</v>
      </c>
      <c r="O21" s="201">
        <f>N21</f>
        <v>7</v>
      </c>
      <c r="R21" s="297" t="s">
        <v>699</v>
      </c>
      <c r="S21" s="297">
        <f>SUM(S16:S20)</f>
        <v>5</v>
      </c>
      <c r="T21" s="201">
        <f>S21</f>
        <v>5</v>
      </c>
    </row>
    <row r="22">
      <c r="E22" s="201"/>
      <c r="J22" s="201"/>
      <c r="O22" s="201"/>
      <c r="T22" s="201"/>
    </row>
    <row r="23">
      <c r="E23" s="201"/>
      <c r="J23" s="201"/>
      <c r="O23" s="201"/>
      <c r="T23" s="201"/>
    </row>
    <row r="24">
      <c r="E24" s="201"/>
      <c r="J24" s="201"/>
      <c r="O24" s="201"/>
      <c r="T24" s="201"/>
    </row>
    <row r="25">
      <c r="A25" s="302" t="s">
        <v>687</v>
      </c>
      <c r="E25" s="201"/>
      <c r="F25" s="303" t="s">
        <v>700</v>
      </c>
      <c r="J25" s="201"/>
      <c r="K25" s="304" t="s">
        <v>701</v>
      </c>
      <c r="O25" s="201"/>
      <c r="P25" s="305" t="s">
        <v>702</v>
      </c>
      <c r="T25" s="201"/>
    </row>
    <row r="26">
      <c r="A26" s="297" t="s">
        <v>695</v>
      </c>
      <c r="B26" s="297" t="s">
        <v>696</v>
      </c>
      <c r="C26" s="144" t="s">
        <v>697</v>
      </c>
      <c r="D26" s="144" t="s">
        <v>698</v>
      </c>
      <c r="E26" s="201"/>
      <c r="F26" s="297" t="s">
        <v>695</v>
      </c>
      <c r="G26" s="297" t="s">
        <v>696</v>
      </c>
      <c r="H26" s="144" t="s">
        <v>697</v>
      </c>
      <c r="I26" s="144" t="s">
        <v>698</v>
      </c>
      <c r="J26" s="201"/>
      <c r="K26" s="297" t="s">
        <v>695</v>
      </c>
      <c r="L26" s="297" t="s">
        <v>696</v>
      </c>
      <c r="M26" s="144" t="s">
        <v>697</v>
      </c>
      <c r="N26" s="144" t="s">
        <v>698</v>
      </c>
      <c r="O26" s="201"/>
      <c r="P26" s="297" t="s">
        <v>695</v>
      </c>
      <c r="Q26" s="297" t="s">
        <v>696</v>
      </c>
      <c r="R26" s="144" t="s">
        <v>697</v>
      </c>
      <c r="S26" s="144" t="s">
        <v>698</v>
      </c>
      <c r="T26" s="201"/>
    </row>
    <row r="27">
      <c r="A27" s="297">
        <v>6.0</v>
      </c>
      <c r="B27" s="297">
        <v>1.0</v>
      </c>
      <c r="C27" s="297"/>
      <c r="D27" s="297">
        <f t="shared" ref="D27:D29" si="9">SUM(B27:C27)</f>
        <v>1</v>
      </c>
      <c r="E27" s="201"/>
      <c r="F27" s="297">
        <v>2.0</v>
      </c>
      <c r="G27" s="297">
        <v>1.0</v>
      </c>
      <c r="H27" s="297">
        <v>1.0</v>
      </c>
      <c r="I27" s="297">
        <f t="shared" ref="I27:I28" si="10">SUM(G27:H27)</f>
        <v>2</v>
      </c>
      <c r="J27" s="201"/>
      <c r="K27" s="297">
        <v>2.0</v>
      </c>
      <c r="L27" s="297">
        <v>1.0</v>
      </c>
      <c r="M27" s="297"/>
      <c r="N27" s="297">
        <f t="shared" ref="N27:N28" si="11">SUM(L27:M27)</f>
        <v>1</v>
      </c>
      <c r="O27" s="201"/>
      <c r="P27" s="297">
        <v>2.0</v>
      </c>
      <c r="Q27" s="297">
        <v>0.0</v>
      </c>
      <c r="R27" s="297"/>
      <c r="S27" s="297">
        <f t="shared" ref="S27:S28" si="12">SUM(Q27:R27)</f>
        <v>0</v>
      </c>
      <c r="T27" s="201"/>
    </row>
    <row r="28">
      <c r="A28" s="297">
        <v>8.0</v>
      </c>
      <c r="B28" s="297">
        <v>1.0</v>
      </c>
      <c r="C28" s="297"/>
      <c r="D28" s="297">
        <f t="shared" si="9"/>
        <v>1</v>
      </c>
      <c r="E28" s="201"/>
      <c r="F28" s="297">
        <v>4.0</v>
      </c>
      <c r="G28" s="297">
        <v>1.0</v>
      </c>
      <c r="H28" s="297"/>
      <c r="I28" s="297">
        <f t="shared" si="10"/>
        <v>1</v>
      </c>
      <c r="J28" s="201"/>
      <c r="K28" s="297">
        <v>4.0</v>
      </c>
      <c r="L28" s="297">
        <v>1.0</v>
      </c>
      <c r="M28" s="297"/>
      <c r="N28" s="297">
        <f t="shared" si="11"/>
        <v>1</v>
      </c>
      <c r="O28" s="201"/>
      <c r="P28" s="297">
        <v>4.0</v>
      </c>
      <c r="Q28" s="297">
        <v>1.0</v>
      </c>
      <c r="R28" s="297"/>
      <c r="S28" s="297">
        <f t="shared" si="12"/>
        <v>1</v>
      </c>
      <c r="T28" s="201"/>
    </row>
    <row r="29">
      <c r="A29" s="297">
        <v>10.0</v>
      </c>
      <c r="B29" s="297">
        <v>1.0</v>
      </c>
      <c r="C29" s="297"/>
      <c r="D29" s="297">
        <f t="shared" si="9"/>
        <v>1</v>
      </c>
      <c r="E29" s="201"/>
      <c r="H29" s="297" t="s">
        <v>699</v>
      </c>
      <c r="I29" s="297">
        <f>SUM(I27:I28)</f>
        <v>3</v>
      </c>
      <c r="J29" s="201">
        <f>I29</f>
        <v>3</v>
      </c>
      <c r="M29" s="297" t="s">
        <v>699</v>
      </c>
      <c r="N29" s="297">
        <f>SUM(N27:N28)</f>
        <v>2</v>
      </c>
      <c r="O29" s="201">
        <f>N29</f>
        <v>2</v>
      </c>
      <c r="R29" s="297" t="s">
        <v>699</v>
      </c>
      <c r="S29" s="297">
        <f>SUM(S27:S28)</f>
        <v>1</v>
      </c>
      <c r="T29" s="201">
        <f>S29</f>
        <v>1</v>
      </c>
    </row>
    <row r="30">
      <c r="C30" s="297" t="s">
        <v>699</v>
      </c>
      <c r="D30" s="297">
        <f>SUM(D27:D29)</f>
        <v>3</v>
      </c>
      <c r="E30" s="201">
        <f>D30</f>
        <v>3</v>
      </c>
      <c r="R30" s="297"/>
      <c r="S30" s="297"/>
      <c r="T30" s="201"/>
    </row>
    <row r="31">
      <c r="T31" s="201"/>
    </row>
    <row r="32">
      <c r="P32" s="306" t="s">
        <v>703</v>
      </c>
      <c r="T32" s="201"/>
    </row>
    <row r="33">
      <c r="P33" s="297" t="s">
        <v>695</v>
      </c>
      <c r="Q33" s="297" t="s">
        <v>696</v>
      </c>
      <c r="R33" s="144" t="s">
        <v>697</v>
      </c>
      <c r="S33" s="144" t="s">
        <v>698</v>
      </c>
      <c r="T33" s="201"/>
    </row>
    <row r="34">
      <c r="P34" s="297">
        <v>6.0</v>
      </c>
      <c r="Q34" s="297">
        <v>1.0</v>
      </c>
      <c r="R34" s="297"/>
      <c r="S34" s="297">
        <f t="shared" ref="S34:S36" si="13">SUM(Q34:R34)</f>
        <v>1</v>
      </c>
      <c r="T34" s="201"/>
    </row>
    <row r="35">
      <c r="P35" s="297">
        <v>8.0</v>
      </c>
      <c r="Q35" s="297">
        <v>1.0</v>
      </c>
      <c r="R35" s="297"/>
      <c r="S35" s="297">
        <f t="shared" si="13"/>
        <v>1</v>
      </c>
      <c r="T35" s="201"/>
    </row>
    <row r="36">
      <c r="P36" s="297">
        <v>10.0</v>
      </c>
      <c r="Q36" s="297">
        <v>1.0</v>
      </c>
      <c r="R36" s="297"/>
      <c r="S36" s="297">
        <f t="shared" si="13"/>
        <v>1</v>
      </c>
      <c r="T36" s="201"/>
    </row>
    <row r="37">
      <c r="R37" s="297" t="s">
        <v>699</v>
      </c>
      <c r="S37" s="297">
        <f>SUM(S34:S36)</f>
        <v>3</v>
      </c>
      <c r="T37" s="201">
        <f>S37</f>
        <v>3</v>
      </c>
    </row>
    <row r="38">
      <c r="A38" s="144" t="s">
        <v>704</v>
      </c>
      <c r="B38" s="307">
        <f>SUM(E38:T38)</f>
        <v>105</v>
      </c>
      <c r="E38" s="201">
        <f>SUM(E5:E30)</f>
        <v>12</v>
      </c>
      <c r="F38" s="201"/>
      <c r="G38" s="201"/>
      <c r="H38" s="201"/>
      <c r="I38" s="201"/>
      <c r="J38" s="201">
        <f>SUM(J9:J29)</f>
        <v>27</v>
      </c>
      <c r="K38" s="201"/>
      <c r="L38" s="201"/>
      <c r="M38" s="201"/>
      <c r="N38" s="201"/>
      <c r="O38" s="201">
        <f>SUM(O8:O29)</f>
        <v>32</v>
      </c>
      <c r="P38" s="201"/>
      <c r="Q38" s="201"/>
      <c r="R38" s="201"/>
      <c r="S38" s="201"/>
      <c r="T38" s="201">
        <f>SUM(T8:T37)</f>
        <v>34</v>
      </c>
    </row>
    <row r="39">
      <c r="B39" s="144" t="s">
        <v>705</v>
      </c>
    </row>
  </sheetData>
  <mergeCells count="13">
    <mergeCell ref="A14:D14"/>
    <mergeCell ref="A25:D25"/>
    <mergeCell ref="F25:I25"/>
    <mergeCell ref="K25:N25"/>
    <mergeCell ref="P25:S25"/>
    <mergeCell ref="P32:S32"/>
    <mergeCell ref="A1:D1"/>
    <mergeCell ref="F1:I1"/>
    <mergeCell ref="K1:N1"/>
    <mergeCell ref="P1:S1"/>
    <mergeCell ref="F14:I14"/>
    <mergeCell ref="K14:N14"/>
    <mergeCell ref="P14:S1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43"/>
    <col customWidth="1" min="2" max="2" width="21.71"/>
  </cols>
  <sheetData>
    <row r="1">
      <c r="A1" s="308" t="s">
        <v>706</v>
      </c>
      <c r="B1" s="308" t="s">
        <v>707</v>
      </c>
    </row>
    <row r="2">
      <c r="A2" s="308" t="s">
        <v>708</v>
      </c>
      <c r="B2" s="308" t="s">
        <v>709</v>
      </c>
    </row>
    <row r="3">
      <c r="A3" s="308" t="s">
        <v>364</v>
      </c>
      <c r="B3" s="308" t="s">
        <v>710</v>
      </c>
    </row>
    <row r="4">
      <c r="A4" s="308" t="s">
        <v>361</v>
      </c>
      <c r="B4" s="308" t="s">
        <v>711</v>
      </c>
    </row>
    <row r="5">
      <c r="A5" s="308" t="s">
        <v>29</v>
      </c>
      <c r="B5" s="308" t="s">
        <v>712</v>
      </c>
    </row>
    <row r="6">
      <c r="A6" s="308" t="s">
        <v>713</v>
      </c>
      <c r="B6" s="308" t="s">
        <v>714</v>
      </c>
    </row>
    <row r="7">
      <c r="A7" s="309" t="s">
        <v>97</v>
      </c>
      <c r="B7" s="308" t="s">
        <v>715</v>
      </c>
    </row>
    <row r="8">
      <c r="A8" s="308" t="s">
        <v>716</v>
      </c>
      <c r="B8" s="308" t="s">
        <v>717</v>
      </c>
    </row>
    <row r="9">
      <c r="A9" s="309" t="s">
        <v>359</v>
      </c>
      <c r="B9" s="308" t="s">
        <v>718</v>
      </c>
    </row>
    <row r="10">
      <c r="A10" s="308" t="s">
        <v>33</v>
      </c>
      <c r="B10" s="308" t="s">
        <v>719</v>
      </c>
    </row>
    <row r="11">
      <c r="A11" s="308" t="s">
        <v>125</v>
      </c>
      <c r="B11" s="308" t="s">
        <v>720</v>
      </c>
    </row>
    <row r="12">
      <c r="A12" s="308" t="s">
        <v>721</v>
      </c>
      <c r="B12" s="308" t="s">
        <v>722</v>
      </c>
    </row>
    <row r="13">
      <c r="A13" s="308" t="s">
        <v>723</v>
      </c>
      <c r="B13" s="308" t="s">
        <v>724</v>
      </c>
    </row>
    <row r="14">
      <c r="A14" s="308" t="s">
        <v>725</v>
      </c>
      <c r="B14" s="308" t="s">
        <v>726</v>
      </c>
    </row>
    <row r="15">
      <c r="A15" s="308" t="s">
        <v>727</v>
      </c>
      <c r="B15" s="308" t="s">
        <v>728</v>
      </c>
    </row>
    <row r="16">
      <c r="A16" s="308" t="s">
        <v>74</v>
      </c>
      <c r="B16" s="308" t="s">
        <v>729</v>
      </c>
    </row>
    <row r="17">
      <c r="A17" s="308" t="s">
        <v>176</v>
      </c>
      <c r="B17" s="308" t="s">
        <v>730</v>
      </c>
    </row>
    <row r="18">
      <c r="A18" s="308" t="s">
        <v>194</v>
      </c>
      <c r="B18" s="308" t="s">
        <v>731</v>
      </c>
    </row>
    <row r="19">
      <c r="A19" s="308" t="s">
        <v>732</v>
      </c>
      <c r="B19" s="308" t="s">
        <v>733</v>
      </c>
    </row>
    <row r="20">
      <c r="A20" s="308" t="s">
        <v>295</v>
      </c>
      <c r="B20" s="308" t="s">
        <v>734</v>
      </c>
    </row>
    <row r="21">
      <c r="A21" s="308" t="s">
        <v>735</v>
      </c>
      <c r="B21" s="308" t="s">
        <v>736</v>
      </c>
    </row>
    <row r="22">
      <c r="A22" s="308" t="s">
        <v>299</v>
      </c>
      <c r="B22" s="308" t="s">
        <v>737</v>
      </c>
    </row>
    <row r="23">
      <c r="A23" s="308" t="s">
        <v>51</v>
      </c>
      <c r="B23" s="308" t="s">
        <v>738</v>
      </c>
    </row>
    <row r="24">
      <c r="A24" s="308" t="s">
        <v>739</v>
      </c>
      <c r="B24" s="308" t="s">
        <v>740</v>
      </c>
    </row>
    <row r="25">
      <c r="A25" s="308" t="s">
        <v>741</v>
      </c>
      <c r="B25" s="308" t="s">
        <v>742</v>
      </c>
    </row>
    <row r="26">
      <c r="A26" s="308" t="s">
        <v>163</v>
      </c>
      <c r="B26" s="308" t="s">
        <v>743</v>
      </c>
    </row>
    <row r="27">
      <c r="A27" s="308" t="s">
        <v>543</v>
      </c>
      <c r="B27" s="308" t="s">
        <v>744</v>
      </c>
    </row>
    <row r="28">
      <c r="A28" s="308" t="s">
        <v>84</v>
      </c>
      <c r="B28" s="308" t="s">
        <v>745</v>
      </c>
    </row>
    <row r="29">
      <c r="A29" s="308" t="s">
        <v>467</v>
      </c>
      <c r="B29" s="308" t="s">
        <v>746</v>
      </c>
    </row>
    <row r="30">
      <c r="A30" s="308" t="s">
        <v>481</v>
      </c>
      <c r="B30" s="308" t="s">
        <v>747</v>
      </c>
    </row>
    <row r="31">
      <c r="A31" s="308" t="s">
        <v>117</v>
      </c>
      <c r="B31" s="308" t="s">
        <v>748</v>
      </c>
    </row>
    <row r="32">
      <c r="A32" s="308" t="s">
        <v>601</v>
      </c>
      <c r="B32" s="308" t="s">
        <v>749</v>
      </c>
    </row>
    <row r="33">
      <c r="A33" s="308" t="s">
        <v>607</v>
      </c>
      <c r="B33" s="308" t="s">
        <v>750</v>
      </c>
    </row>
    <row r="34">
      <c r="A34" s="308" t="s">
        <v>367</v>
      </c>
      <c r="B34" s="308" t="s">
        <v>751</v>
      </c>
    </row>
    <row r="35">
      <c r="A35" s="308" t="s">
        <v>752</v>
      </c>
      <c r="B35" s="308" t="s">
        <v>753</v>
      </c>
    </row>
    <row r="36">
      <c r="A36" s="308" t="s">
        <v>618</v>
      </c>
      <c r="B36" s="308" t="s">
        <v>754</v>
      </c>
    </row>
    <row r="37">
      <c r="A37" s="308" t="s">
        <v>755</v>
      </c>
      <c r="B37" s="308" t="s">
        <v>756</v>
      </c>
    </row>
    <row r="38">
      <c r="A38" s="308" t="s">
        <v>196</v>
      </c>
      <c r="B38" s="308" t="s">
        <v>757</v>
      </c>
    </row>
    <row r="39">
      <c r="A39" s="308" t="s">
        <v>758</v>
      </c>
      <c r="B39" s="308" t="s">
        <v>759</v>
      </c>
    </row>
    <row r="40">
      <c r="A40" s="308" t="s">
        <v>661</v>
      </c>
      <c r="B40" s="308" t="s">
        <v>760</v>
      </c>
    </row>
    <row r="41">
      <c r="A41" s="308" t="s">
        <v>87</v>
      </c>
      <c r="B41" s="308" t="s">
        <v>761</v>
      </c>
    </row>
    <row r="42">
      <c r="A42" s="308" t="s">
        <v>76</v>
      </c>
      <c r="B42" s="308" t="s">
        <v>762</v>
      </c>
    </row>
    <row r="43">
      <c r="A43" s="308" t="s">
        <v>763</v>
      </c>
      <c r="B43" s="308" t="s">
        <v>764</v>
      </c>
    </row>
    <row r="44">
      <c r="A44" s="308" t="s">
        <v>300</v>
      </c>
      <c r="B44" s="308" t="s">
        <v>765</v>
      </c>
    </row>
    <row r="45">
      <c r="A45" s="308" t="s">
        <v>375</v>
      </c>
      <c r="B45" s="308" t="s">
        <v>766</v>
      </c>
    </row>
    <row r="46">
      <c r="A46" s="308" t="s">
        <v>507</v>
      </c>
      <c r="B46" s="308" t="s">
        <v>767</v>
      </c>
    </row>
    <row r="47">
      <c r="A47" s="308" t="s">
        <v>118</v>
      </c>
      <c r="B47" s="308" t="s">
        <v>768</v>
      </c>
    </row>
    <row r="48">
      <c r="A48" s="309" t="s">
        <v>589</v>
      </c>
      <c r="B48" s="308" t="s">
        <v>769</v>
      </c>
    </row>
    <row r="49">
      <c r="A49" s="308" t="s">
        <v>595</v>
      </c>
      <c r="B49" s="308" t="s">
        <v>770</v>
      </c>
    </row>
    <row r="50">
      <c r="A50" s="308" t="s">
        <v>60</v>
      </c>
      <c r="B50" s="308" t="s">
        <v>771</v>
      </c>
    </row>
    <row r="51">
      <c r="A51" s="308" t="s">
        <v>75</v>
      </c>
      <c r="B51" s="308" t="s">
        <v>772</v>
      </c>
    </row>
    <row r="52">
      <c r="A52" s="308" t="s">
        <v>773</v>
      </c>
      <c r="B52" s="308" t="s">
        <v>774</v>
      </c>
    </row>
    <row r="53">
      <c r="A53" s="308" t="s">
        <v>191</v>
      </c>
      <c r="B53" s="308" t="s">
        <v>775</v>
      </c>
    </row>
    <row r="54">
      <c r="A54" s="308" t="s">
        <v>776</v>
      </c>
      <c r="B54" s="308" t="s">
        <v>777</v>
      </c>
    </row>
    <row r="55">
      <c r="A55" s="308" t="s">
        <v>285</v>
      </c>
      <c r="B55" s="308" t="s">
        <v>717</v>
      </c>
    </row>
    <row r="56">
      <c r="A56" s="308" t="s">
        <v>278</v>
      </c>
      <c r="B56" s="308" t="s">
        <v>778</v>
      </c>
    </row>
    <row r="57">
      <c r="A57" s="308" t="s">
        <v>779</v>
      </c>
      <c r="B57" s="308" t="s">
        <v>780</v>
      </c>
    </row>
    <row r="58">
      <c r="A58" s="308" t="s">
        <v>617</v>
      </c>
      <c r="B58" s="308" t="s">
        <v>781</v>
      </c>
    </row>
    <row r="59">
      <c r="A59" s="308" t="s">
        <v>407</v>
      </c>
      <c r="B59" s="308" t="s">
        <v>782</v>
      </c>
    </row>
    <row r="60">
      <c r="A60" s="308" t="s">
        <v>109</v>
      </c>
      <c r="B60" s="308" t="s">
        <v>783</v>
      </c>
    </row>
    <row r="61">
      <c r="A61" s="308" t="s">
        <v>784</v>
      </c>
      <c r="B61" s="308" t="s">
        <v>785</v>
      </c>
    </row>
    <row r="62">
      <c r="A62" s="308" t="s">
        <v>786</v>
      </c>
      <c r="B62" s="308" t="s">
        <v>787</v>
      </c>
    </row>
    <row r="63">
      <c r="A63" s="308" t="s">
        <v>788</v>
      </c>
      <c r="B63" s="308" t="s">
        <v>789</v>
      </c>
    </row>
    <row r="64">
      <c r="A64" s="308" t="s">
        <v>433</v>
      </c>
      <c r="B64" s="308" t="s">
        <v>790</v>
      </c>
    </row>
    <row r="65">
      <c r="A65" s="308" t="s">
        <v>39</v>
      </c>
      <c r="B65" s="308" t="s">
        <v>791</v>
      </c>
    </row>
    <row r="66">
      <c r="A66" s="308" t="s">
        <v>90</v>
      </c>
      <c r="B66" s="308" t="s">
        <v>792</v>
      </c>
    </row>
    <row r="67">
      <c r="A67" s="308" t="s">
        <v>453</v>
      </c>
      <c r="B67" s="308" t="s">
        <v>793</v>
      </c>
    </row>
    <row r="68">
      <c r="A68" s="308" t="s">
        <v>148</v>
      </c>
      <c r="B68" s="308" t="s">
        <v>794</v>
      </c>
    </row>
    <row r="69">
      <c r="A69" s="308" t="s">
        <v>795</v>
      </c>
      <c r="B69" s="308" t="s">
        <v>796</v>
      </c>
    </row>
    <row r="70">
      <c r="A70" s="308" t="s">
        <v>494</v>
      </c>
      <c r="B70" s="308" t="s">
        <v>797</v>
      </c>
    </row>
    <row r="71">
      <c r="A71" s="308" t="s">
        <v>45</v>
      </c>
      <c r="B71" s="308" t="s">
        <v>798</v>
      </c>
    </row>
    <row r="72">
      <c r="A72" s="308" t="s">
        <v>799</v>
      </c>
      <c r="B72" s="308" t="s">
        <v>800</v>
      </c>
    </row>
    <row r="73">
      <c r="A73" s="308" t="s">
        <v>384</v>
      </c>
      <c r="B73" s="308" t="s">
        <v>801</v>
      </c>
    </row>
    <row r="74">
      <c r="A74" s="308" t="s">
        <v>348</v>
      </c>
      <c r="B74" s="308" t="s">
        <v>802</v>
      </c>
    </row>
    <row r="75">
      <c r="A75" s="308" t="s">
        <v>803</v>
      </c>
      <c r="B75" s="308" t="s">
        <v>804</v>
      </c>
    </row>
    <row r="76">
      <c r="A76" s="308" t="s">
        <v>805</v>
      </c>
      <c r="B76" s="308" t="s">
        <v>806</v>
      </c>
    </row>
    <row r="77">
      <c r="A77" s="308" t="s">
        <v>276</v>
      </c>
      <c r="B77" s="308" t="s">
        <v>807</v>
      </c>
    </row>
    <row r="78">
      <c r="A78" s="308" t="s">
        <v>808</v>
      </c>
      <c r="B78" s="308" t="s">
        <v>809</v>
      </c>
    </row>
    <row r="79">
      <c r="A79" s="308" t="s">
        <v>810</v>
      </c>
      <c r="B79" s="308" t="s">
        <v>811</v>
      </c>
    </row>
    <row r="80">
      <c r="A80" s="308" t="s">
        <v>59</v>
      </c>
      <c r="B80" s="308" t="s">
        <v>812</v>
      </c>
    </row>
    <row r="81">
      <c r="A81" s="308" t="s">
        <v>631</v>
      </c>
      <c r="B81" s="308" t="s">
        <v>813</v>
      </c>
    </row>
    <row r="82">
      <c r="A82" s="308" t="s">
        <v>814</v>
      </c>
      <c r="B82" s="308" t="s">
        <v>815</v>
      </c>
    </row>
    <row r="83">
      <c r="A83" s="308" t="s">
        <v>325</v>
      </c>
      <c r="B83" s="308" t="s">
        <v>816</v>
      </c>
    </row>
    <row r="84">
      <c r="A84" s="308" t="s">
        <v>344</v>
      </c>
      <c r="B84" s="308" t="s">
        <v>817</v>
      </c>
    </row>
    <row r="85">
      <c r="A85" s="308" t="s">
        <v>818</v>
      </c>
      <c r="B85" s="308" t="s">
        <v>819</v>
      </c>
    </row>
    <row r="86">
      <c r="A86" s="308" t="s">
        <v>820</v>
      </c>
      <c r="B86" s="308" t="s">
        <v>821</v>
      </c>
    </row>
    <row r="87">
      <c r="A87" s="308" t="s">
        <v>127</v>
      </c>
      <c r="B87" s="308" t="s">
        <v>822</v>
      </c>
    </row>
    <row r="88">
      <c r="A88" s="308" t="s">
        <v>78</v>
      </c>
      <c r="B88" s="308" t="s">
        <v>823</v>
      </c>
    </row>
    <row r="89">
      <c r="A89" s="308" t="s">
        <v>824</v>
      </c>
      <c r="B89" s="308" t="s">
        <v>825</v>
      </c>
    </row>
    <row r="90">
      <c r="A90" s="308" t="s">
        <v>827</v>
      </c>
      <c r="B90" s="308" t="s">
        <v>828</v>
      </c>
    </row>
    <row r="91">
      <c r="A91" s="308" t="s">
        <v>126</v>
      </c>
      <c r="B91" s="308" t="s">
        <v>829</v>
      </c>
    </row>
    <row r="92">
      <c r="A92" s="308" t="s">
        <v>831</v>
      </c>
      <c r="B92" s="308" t="s">
        <v>832</v>
      </c>
    </row>
    <row r="93">
      <c r="A93" s="308" t="s">
        <v>656</v>
      </c>
      <c r="B93" s="308" t="s">
        <v>833</v>
      </c>
    </row>
    <row r="94">
      <c r="A94" s="308" t="s">
        <v>620</v>
      </c>
      <c r="B94" s="308" t="s">
        <v>834</v>
      </c>
    </row>
    <row r="95">
      <c r="A95" s="308" t="s">
        <v>255</v>
      </c>
      <c r="B95" s="308" t="s">
        <v>836</v>
      </c>
    </row>
    <row r="96">
      <c r="A96" s="308" t="s">
        <v>839</v>
      </c>
      <c r="B96" s="308" t="s">
        <v>841</v>
      </c>
    </row>
    <row r="97">
      <c r="A97" s="308" t="s">
        <v>845</v>
      </c>
      <c r="B97" s="308" t="s">
        <v>848</v>
      </c>
    </row>
    <row r="98">
      <c r="A98" s="308" t="s">
        <v>354</v>
      </c>
      <c r="B98" s="308" t="s">
        <v>853</v>
      </c>
    </row>
    <row r="99">
      <c r="A99" s="308" t="s">
        <v>346</v>
      </c>
      <c r="B99" s="308" t="s">
        <v>855</v>
      </c>
    </row>
    <row r="100">
      <c r="A100" s="308" t="s">
        <v>105</v>
      </c>
      <c r="B100" s="308" t="s">
        <v>856</v>
      </c>
    </row>
    <row r="101">
      <c r="A101" s="308" t="s">
        <v>857</v>
      </c>
      <c r="B101" s="308" t="s">
        <v>859</v>
      </c>
    </row>
    <row r="102">
      <c r="A102" s="308" t="s">
        <v>860</v>
      </c>
      <c r="B102" s="308" t="s">
        <v>861</v>
      </c>
    </row>
    <row r="103">
      <c r="A103" s="308" t="s">
        <v>862</v>
      </c>
      <c r="B103" s="308" t="s">
        <v>863</v>
      </c>
    </row>
    <row r="104">
      <c r="A104" s="308" t="s">
        <v>313</v>
      </c>
      <c r="B104" s="308" t="s">
        <v>864</v>
      </c>
    </row>
    <row r="105">
      <c r="A105" s="308" t="s">
        <v>865</v>
      </c>
      <c r="B105" s="308" t="s">
        <v>866</v>
      </c>
    </row>
    <row r="106">
      <c r="A106" s="308" t="s">
        <v>867</v>
      </c>
      <c r="B106" s="308" t="s">
        <v>868</v>
      </c>
    </row>
    <row r="107">
      <c r="A107" s="308" t="s">
        <v>869</v>
      </c>
      <c r="B107" s="308" t="s">
        <v>870</v>
      </c>
    </row>
    <row r="108">
      <c r="A108" s="308" t="s">
        <v>609</v>
      </c>
      <c r="B108" s="308" t="s">
        <v>871</v>
      </c>
    </row>
    <row r="109">
      <c r="A109" s="308" t="s">
        <v>872</v>
      </c>
      <c r="B109" s="308" t="s">
        <v>873</v>
      </c>
    </row>
    <row r="110">
      <c r="A110" s="308" t="s">
        <v>366</v>
      </c>
      <c r="B110" s="308" t="s">
        <v>875</v>
      </c>
    </row>
    <row r="111">
      <c r="A111" s="308" t="s">
        <v>71</v>
      </c>
      <c r="B111" s="308" t="s">
        <v>876</v>
      </c>
    </row>
    <row r="112">
      <c r="A112" s="308" t="s">
        <v>577</v>
      </c>
      <c r="B112" s="308" t="s">
        <v>877</v>
      </c>
    </row>
    <row r="113">
      <c r="A113" s="308" t="s">
        <v>443</v>
      </c>
      <c r="B113" s="308" t="s">
        <v>878</v>
      </c>
    </row>
    <row r="114">
      <c r="A114" s="308" t="s">
        <v>40</v>
      </c>
      <c r="B114" s="308" t="s">
        <v>879</v>
      </c>
    </row>
    <row r="115">
      <c r="A115" s="308" t="s">
        <v>427</v>
      </c>
      <c r="B115" s="308" t="s">
        <v>880</v>
      </c>
    </row>
    <row r="116">
      <c r="A116" s="308" t="s">
        <v>431</v>
      </c>
      <c r="B116" s="308" t="s">
        <v>882</v>
      </c>
    </row>
    <row r="117">
      <c r="A117" s="308" t="s">
        <v>885</v>
      </c>
      <c r="B117" s="308" t="s">
        <v>886</v>
      </c>
    </row>
    <row r="118">
      <c r="A118" s="308" t="s">
        <v>482</v>
      </c>
      <c r="B118" s="308" t="s">
        <v>888</v>
      </c>
    </row>
    <row r="119">
      <c r="A119" s="308" t="s">
        <v>636</v>
      </c>
      <c r="B119" s="309" t="s">
        <v>890</v>
      </c>
    </row>
    <row r="120">
      <c r="A120" s="308" t="s">
        <v>605</v>
      </c>
      <c r="B120" s="308" t="s">
        <v>891</v>
      </c>
    </row>
    <row r="121">
      <c r="A121" s="308" t="s">
        <v>892</v>
      </c>
      <c r="B121" s="308" t="s">
        <v>893</v>
      </c>
    </row>
    <row r="122">
      <c r="A122" s="308" t="s">
        <v>895</v>
      </c>
      <c r="B122" s="308" t="s">
        <v>896</v>
      </c>
    </row>
    <row r="123">
      <c r="A123" s="308" t="s">
        <v>128</v>
      </c>
      <c r="B123" s="309" t="s">
        <v>897</v>
      </c>
    </row>
    <row r="124">
      <c r="A124" s="308" t="s">
        <v>898</v>
      </c>
      <c r="B124" s="308" t="s">
        <v>899</v>
      </c>
    </row>
    <row r="125">
      <c r="A125" s="308" t="s">
        <v>900</v>
      </c>
      <c r="B125" s="308" t="s">
        <v>901</v>
      </c>
    </row>
    <row r="126">
      <c r="A126" s="308" t="s">
        <v>902</v>
      </c>
      <c r="B126" s="308" t="s">
        <v>903</v>
      </c>
    </row>
    <row r="127">
      <c r="A127" s="308" t="s">
        <v>120</v>
      </c>
      <c r="B127" s="308" t="s">
        <v>905</v>
      </c>
    </row>
    <row r="128">
      <c r="A128" s="308" t="s">
        <v>906</v>
      </c>
      <c r="B128" s="308" t="s">
        <v>907</v>
      </c>
    </row>
    <row r="129">
      <c r="A129" s="308" t="s">
        <v>21</v>
      </c>
      <c r="B129" s="308" t="s">
        <v>908</v>
      </c>
    </row>
    <row r="130">
      <c r="A130" s="308" t="s">
        <v>94</v>
      </c>
      <c r="B130" s="308" t="s">
        <v>909</v>
      </c>
    </row>
    <row r="131">
      <c r="A131" s="308" t="s">
        <v>910</v>
      </c>
      <c r="B131" s="308" t="s">
        <v>912</v>
      </c>
    </row>
    <row r="132">
      <c r="A132" s="308" t="s">
        <v>457</v>
      </c>
      <c r="B132" s="308" t="s">
        <v>913</v>
      </c>
    </row>
    <row r="133">
      <c r="A133" s="308" t="s">
        <v>140</v>
      </c>
      <c r="B133" s="308" t="s">
        <v>914</v>
      </c>
    </row>
    <row r="134">
      <c r="A134" s="308" t="s">
        <v>915</v>
      </c>
      <c r="B134" s="308" t="s">
        <v>916</v>
      </c>
    </row>
    <row r="135">
      <c r="A135" s="308" t="s">
        <v>917</v>
      </c>
      <c r="B135" s="308" t="s">
        <v>919</v>
      </c>
    </row>
    <row r="136">
      <c r="A136" s="308" t="s">
        <v>574</v>
      </c>
      <c r="B136" s="308" t="s">
        <v>921</v>
      </c>
    </row>
    <row r="137">
      <c r="A137" s="308" t="s">
        <v>922</v>
      </c>
      <c r="B137" s="308" t="s">
        <v>923</v>
      </c>
    </row>
    <row r="138">
      <c r="A138" s="308" t="s">
        <v>924</v>
      </c>
      <c r="B138" s="308" t="s">
        <v>925</v>
      </c>
    </row>
    <row r="139">
      <c r="A139" s="308" t="s">
        <v>926</v>
      </c>
      <c r="B139" s="308" t="s">
        <v>927</v>
      </c>
    </row>
    <row r="140">
      <c r="A140" s="308" t="s">
        <v>928</v>
      </c>
      <c r="B140" s="308" t="s">
        <v>929</v>
      </c>
    </row>
    <row r="141">
      <c r="A141" s="308" t="s">
        <v>55</v>
      </c>
      <c r="B141" s="308" t="s">
        <v>930</v>
      </c>
    </row>
    <row r="142">
      <c r="A142" s="308" t="s">
        <v>515</v>
      </c>
      <c r="B142" s="308" t="s">
        <v>931</v>
      </c>
    </row>
    <row r="143">
      <c r="A143" s="308" t="s">
        <v>159</v>
      </c>
      <c r="B143" s="308" t="s">
        <v>932</v>
      </c>
    </row>
    <row r="144">
      <c r="A144" s="308" t="s">
        <v>621</v>
      </c>
      <c r="B144" s="308" t="s">
        <v>934</v>
      </c>
    </row>
    <row r="145">
      <c r="A145" s="308" t="s">
        <v>570</v>
      </c>
      <c r="B145" s="308" t="s">
        <v>935</v>
      </c>
    </row>
    <row r="146">
      <c r="A146" s="308" t="s">
        <v>619</v>
      </c>
      <c r="B146" s="308" t="s">
        <v>936</v>
      </c>
    </row>
    <row r="147">
      <c r="A147" s="308" t="s">
        <v>372</v>
      </c>
      <c r="B147" s="308" t="s">
        <v>937</v>
      </c>
    </row>
    <row r="148">
      <c r="A148" s="308" t="s">
        <v>326</v>
      </c>
      <c r="B148" s="308" t="s">
        <v>938</v>
      </c>
    </row>
    <row r="149">
      <c r="A149" s="308" t="s">
        <v>939</v>
      </c>
      <c r="B149" s="308" t="s">
        <v>940</v>
      </c>
    </row>
    <row r="150">
      <c r="A150" s="308" t="s">
        <v>412</v>
      </c>
      <c r="B150" s="308" t="s">
        <v>941</v>
      </c>
    </row>
    <row r="151">
      <c r="A151" s="308" t="s">
        <v>670</v>
      </c>
      <c r="B151" s="308" t="s">
        <v>943</v>
      </c>
    </row>
    <row r="152">
      <c r="A152" s="308" t="s">
        <v>944</v>
      </c>
      <c r="B152" s="308" t="s">
        <v>945</v>
      </c>
    </row>
    <row r="153">
      <c r="A153" s="308" t="s">
        <v>946</v>
      </c>
      <c r="B153" s="308" t="s">
        <v>947</v>
      </c>
    </row>
    <row r="154">
      <c r="A154" s="308" t="s">
        <v>547</v>
      </c>
      <c r="B154" s="308" t="s">
        <v>948</v>
      </c>
    </row>
    <row r="155">
      <c r="A155" s="308" t="s">
        <v>388</v>
      </c>
      <c r="B155" s="308" t="s">
        <v>949</v>
      </c>
    </row>
    <row r="156">
      <c r="A156" s="308" t="s">
        <v>436</v>
      </c>
      <c r="B156" s="308" t="s">
        <v>950</v>
      </c>
    </row>
    <row r="157">
      <c r="A157" s="308" t="s">
        <v>951</v>
      </c>
      <c r="B157" s="308" t="s">
        <v>952</v>
      </c>
    </row>
    <row r="158">
      <c r="A158" s="308" t="s">
        <v>953</v>
      </c>
      <c r="B158" s="308" t="s">
        <v>954</v>
      </c>
    </row>
    <row r="159">
      <c r="A159" s="308" t="s">
        <v>955</v>
      </c>
      <c r="B159" s="308" t="s">
        <v>956</v>
      </c>
    </row>
    <row r="160">
      <c r="A160" s="308" t="s">
        <v>957</v>
      </c>
      <c r="B160" s="308" t="s">
        <v>958</v>
      </c>
    </row>
    <row r="161">
      <c r="A161" s="308" t="s">
        <v>294</v>
      </c>
      <c r="B161" s="308" t="s">
        <v>959</v>
      </c>
    </row>
    <row r="162">
      <c r="A162" s="308" t="s">
        <v>961</v>
      </c>
      <c r="B162" s="308" t="s">
        <v>962</v>
      </c>
    </row>
    <row r="163">
      <c r="A163" s="308" t="s">
        <v>963</v>
      </c>
      <c r="B163" s="308" t="s">
        <v>964</v>
      </c>
    </row>
    <row r="164">
      <c r="A164" s="308" t="s">
        <v>965</v>
      </c>
      <c r="B164" s="308" t="s">
        <v>966</v>
      </c>
    </row>
    <row r="165">
      <c r="A165" s="308" t="s">
        <v>967</v>
      </c>
      <c r="B165" s="308" t="s">
        <v>968</v>
      </c>
    </row>
    <row r="166">
      <c r="A166" s="308" t="s">
        <v>969</v>
      </c>
      <c r="B166" s="308" t="s">
        <v>970</v>
      </c>
    </row>
    <row r="167">
      <c r="A167" s="308" t="s">
        <v>380</v>
      </c>
      <c r="B167" s="308" t="s">
        <v>971</v>
      </c>
    </row>
    <row r="168">
      <c r="A168" s="308" t="s">
        <v>969</v>
      </c>
      <c r="B168" s="308" t="s">
        <v>970</v>
      </c>
    </row>
    <row r="169">
      <c r="A169" s="308" t="s">
        <v>363</v>
      </c>
      <c r="B169" s="308" t="s">
        <v>973</v>
      </c>
    </row>
    <row r="170">
      <c r="A170" s="308" t="s">
        <v>79</v>
      </c>
      <c r="B170" s="308" t="s">
        <v>974</v>
      </c>
    </row>
    <row r="171">
      <c r="A171" s="308" t="s">
        <v>975</v>
      </c>
      <c r="B171" s="308" t="s">
        <v>976</v>
      </c>
    </row>
    <row r="172">
      <c r="A172" s="308" t="s">
        <v>977</v>
      </c>
      <c r="B172" s="308" t="s">
        <v>978</v>
      </c>
    </row>
    <row r="173">
      <c r="A173" s="308" t="s">
        <v>979</v>
      </c>
      <c r="B173" s="308" t="s">
        <v>980</v>
      </c>
    </row>
    <row r="174">
      <c r="A174" s="308" t="s">
        <v>982</v>
      </c>
      <c r="B174" s="308" t="s">
        <v>983</v>
      </c>
    </row>
    <row r="175">
      <c r="A175" s="308" t="s">
        <v>984</v>
      </c>
      <c r="B175" s="308" t="s">
        <v>985</v>
      </c>
    </row>
    <row r="176">
      <c r="A176" s="308" t="s">
        <v>986</v>
      </c>
      <c r="B176" s="308" t="s">
        <v>987</v>
      </c>
    </row>
    <row r="177">
      <c r="A177" s="308" t="s">
        <v>988</v>
      </c>
      <c r="B177" s="308" t="s">
        <v>989</v>
      </c>
    </row>
    <row r="178">
      <c r="A178" s="308" t="s">
        <v>990</v>
      </c>
      <c r="B178" s="308" t="s">
        <v>991</v>
      </c>
    </row>
    <row r="179">
      <c r="A179" s="308" t="s">
        <v>992</v>
      </c>
      <c r="B179" s="308" t="s">
        <v>993</v>
      </c>
    </row>
    <row r="180">
      <c r="A180" s="308" t="s">
        <v>994</v>
      </c>
      <c r="B180" s="308" t="s">
        <v>995</v>
      </c>
    </row>
    <row r="181">
      <c r="A181" s="308" t="s">
        <v>996</v>
      </c>
      <c r="B181" s="308" t="s">
        <v>997</v>
      </c>
    </row>
    <row r="182">
      <c r="A182" s="308" t="s">
        <v>998</v>
      </c>
      <c r="B182" s="308" t="s">
        <v>999</v>
      </c>
    </row>
    <row r="183">
      <c r="A183" s="308" t="s">
        <v>1000</v>
      </c>
      <c r="B183" s="308" t="s">
        <v>1002</v>
      </c>
    </row>
    <row r="184">
      <c r="A184" s="308" t="s">
        <v>1003</v>
      </c>
      <c r="B184" s="308" t="s">
        <v>1004</v>
      </c>
    </row>
    <row r="185">
      <c r="A185" s="308" t="s">
        <v>1005</v>
      </c>
      <c r="B185" s="308" t="s">
        <v>1006</v>
      </c>
    </row>
    <row r="186">
      <c r="A186" s="308" t="s">
        <v>1007</v>
      </c>
      <c r="B186" s="308" t="s">
        <v>1008</v>
      </c>
    </row>
    <row r="187">
      <c r="A187" s="308" t="s">
        <v>1009</v>
      </c>
      <c r="B187" s="308" t="s">
        <v>1010</v>
      </c>
    </row>
    <row r="188">
      <c r="A188" s="308" t="s">
        <v>1012</v>
      </c>
      <c r="B188" s="308" t="s">
        <v>1013</v>
      </c>
    </row>
    <row r="189">
      <c r="A189" s="308" t="s">
        <v>1015</v>
      </c>
      <c r="B189" s="308" t="s">
        <v>1016</v>
      </c>
    </row>
    <row r="190">
      <c r="A190" s="308" t="s">
        <v>1017</v>
      </c>
      <c r="B190" s="308" t="s">
        <v>1018</v>
      </c>
    </row>
    <row r="191">
      <c r="A191" s="308" t="s">
        <v>1019</v>
      </c>
      <c r="B191" s="308" t="s">
        <v>1008</v>
      </c>
    </row>
    <row r="192">
      <c r="A192" s="308" t="s">
        <v>1021</v>
      </c>
      <c r="B192" s="308" t="s">
        <v>1022</v>
      </c>
    </row>
    <row r="193">
      <c r="A193" s="308" t="s">
        <v>1023</v>
      </c>
      <c r="B193" s="308" t="s">
        <v>1024</v>
      </c>
    </row>
    <row r="194">
      <c r="A194" s="308" t="s">
        <v>1025</v>
      </c>
      <c r="B194" s="308" t="s">
        <v>1026</v>
      </c>
    </row>
    <row r="195">
      <c r="A195" s="308" t="s">
        <v>1027</v>
      </c>
      <c r="B195" s="308" t="s">
        <v>1028</v>
      </c>
    </row>
    <row r="196">
      <c r="A196" s="308" t="s">
        <v>1029</v>
      </c>
      <c r="B196" s="308" t="s">
        <v>1030</v>
      </c>
    </row>
    <row r="197">
      <c r="A197" s="308" t="s">
        <v>1031</v>
      </c>
      <c r="B197" s="308" t="s">
        <v>1032</v>
      </c>
    </row>
    <row r="198">
      <c r="A198" s="308" t="s">
        <v>1033</v>
      </c>
      <c r="B198" s="308" t="s">
        <v>1034</v>
      </c>
    </row>
    <row r="199">
      <c r="A199" s="308" t="s">
        <v>1035</v>
      </c>
      <c r="B199" s="308" t="s">
        <v>1037</v>
      </c>
    </row>
    <row r="200">
      <c r="A200" s="308" t="s">
        <v>1038</v>
      </c>
      <c r="B200" s="308" t="s">
        <v>1039</v>
      </c>
    </row>
    <row r="201">
      <c r="A201" s="308" t="s">
        <v>1040</v>
      </c>
      <c r="B201" s="308" t="s">
        <v>1041</v>
      </c>
    </row>
    <row r="202">
      <c r="A202" s="309" t="s">
        <v>1042</v>
      </c>
      <c r="B202" s="308" t="s">
        <v>1043</v>
      </c>
    </row>
    <row r="203">
      <c r="A203" s="308" t="s">
        <v>1044</v>
      </c>
      <c r="B203" s="308" t="s">
        <v>1045</v>
      </c>
    </row>
    <row r="204">
      <c r="A204" s="308" t="s">
        <v>1046</v>
      </c>
      <c r="B204" s="308" t="s">
        <v>1047</v>
      </c>
    </row>
    <row r="205">
      <c r="A205" s="308" t="s">
        <v>1048</v>
      </c>
      <c r="B205" s="308" t="s">
        <v>1049</v>
      </c>
    </row>
    <row r="206">
      <c r="A206" s="308" t="s">
        <v>1050</v>
      </c>
      <c r="B206" s="308" t="s">
        <v>1052</v>
      </c>
    </row>
    <row r="207">
      <c r="A207" s="308" t="s">
        <v>1053</v>
      </c>
      <c r="B207" s="308" t="s">
        <v>1054</v>
      </c>
    </row>
    <row r="208">
      <c r="A208" s="308" t="s">
        <v>1055</v>
      </c>
      <c r="B208" s="308" t="s">
        <v>1056</v>
      </c>
    </row>
    <row r="209">
      <c r="A209" s="308" t="s">
        <v>368</v>
      </c>
      <c r="B209" s="308" t="s">
        <v>1058</v>
      </c>
    </row>
    <row r="210">
      <c r="A210" s="308" t="s">
        <v>1059</v>
      </c>
      <c r="B210" s="308" t="s">
        <v>1060</v>
      </c>
    </row>
    <row r="211">
      <c r="A211" s="308" t="s">
        <v>1061</v>
      </c>
      <c r="B211" s="308" t="s">
        <v>1062</v>
      </c>
    </row>
    <row r="212">
      <c r="A212" s="308" t="s">
        <v>1063</v>
      </c>
      <c r="B212" s="308" t="s">
        <v>1064</v>
      </c>
    </row>
    <row r="213">
      <c r="A213" s="308" t="s">
        <v>1066</v>
      </c>
      <c r="B213" s="308" t="s">
        <v>1067</v>
      </c>
    </row>
    <row r="214">
      <c r="A214" s="308" t="s">
        <v>1068</v>
      </c>
      <c r="B214" s="308" t="s">
        <v>1069</v>
      </c>
    </row>
    <row r="215">
      <c r="A215" s="308" t="s">
        <v>1071</v>
      </c>
      <c r="B215" s="308" t="s">
        <v>1072</v>
      </c>
    </row>
    <row r="216">
      <c r="A216" s="308" t="s">
        <v>1073</v>
      </c>
      <c r="B216" s="308" t="s">
        <v>1074</v>
      </c>
    </row>
    <row r="217">
      <c r="A217" s="308" t="s">
        <v>1075</v>
      </c>
      <c r="B217" s="308" t="s">
        <v>1077</v>
      </c>
    </row>
    <row r="218">
      <c r="A218" s="308" t="s">
        <v>1078</v>
      </c>
      <c r="B218" s="308" t="s">
        <v>1079</v>
      </c>
    </row>
    <row r="219">
      <c r="A219" s="308" t="s">
        <v>1080</v>
      </c>
      <c r="B219" s="308" t="s">
        <v>1081</v>
      </c>
    </row>
    <row r="220">
      <c r="A220" s="308" t="s">
        <v>1082</v>
      </c>
      <c r="B220" s="308" t="s">
        <v>1083</v>
      </c>
    </row>
    <row r="221">
      <c r="A221" s="308" t="s">
        <v>1084</v>
      </c>
      <c r="B221" s="308" t="s">
        <v>1085</v>
      </c>
    </row>
    <row r="222">
      <c r="A222" s="308" t="s">
        <v>1086</v>
      </c>
      <c r="B222" s="308" t="s">
        <v>1087</v>
      </c>
    </row>
    <row r="223">
      <c r="A223" s="308" t="s">
        <v>1088</v>
      </c>
      <c r="B223" s="308" t="s">
        <v>1089</v>
      </c>
    </row>
    <row r="224">
      <c r="A224" s="308" t="s">
        <v>1090</v>
      </c>
      <c r="B224" s="308" t="s">
        <v>1091</v>
      </c>
    </row>
    <row r="225">
      <c r="A225" s="308" t="s">
        <v>1093</v>
      </c>
      <c r="B225" s="308" t="s">
        <v>1094</v>
      </c>
    </row>
    <row r="226">
      <c r="A226" s="308" t="s">
        <v>422</v>
      </c>
      <c r="B226" s="308" t="s">
        <v>1095</v>
      </c>
    </row>
    <row r="227">
      <c r="A227" s="308" t="s">
        <v>1096</v>
      </c>
      <c r="B227" s="308" t="s">
        <v>1097</v>
      </c>
    </row>
    <row r="228">
      <c r="A228" s="308" t="s">
        <v>1098</v>
      </c>
      <c r="B228" s="308" t="s">
        <v>1099</v>
      </c>
    </row>
    <row r="229">
      <c r="A229" s="308" t="s">
        <v>1100</v>
      </c>
      <c r="B229" s="308" t="s">
        <v>1101</v>
      </c>
    </row>
    <row r="230">
      <c r="A230" s="308" t="s">
        <v>1103</v>
      </c>
      <c r="B230" s="308" t="s">
        <v>1105</v>
      </c>
    </row>
    <row r="231">
      <c r="A231" s="308" t="s">
        <v>1106</v>
      </c>
      <c r="B231" s="308" t="s">
        <v>1107</v>
      </c>
    </row>
    <row r="232">
      <c r="A232" s="308" t="s">
        <v>1108</v>
      </c>
      <c r="B232" s="308" t="s">
        <v>1109</v>
      </c>
    </row>
    <row r="233">
      <c r="A233" s="308" t="s">
        <v>1110</v>
      </c>
      <c r="B233" s="308" t="s">
        <v>1111</v>
      </c>
    </row>
    <row r="234">
      <c r="A234" s="308" t="s">
        <v>1112</v>
      </c>
      <c r="B234" s="308" t="s">
        <v>1113</v>
      </c>
    </row>
    <row r="235">
      <c r="A235" s="308" t="s">
        <v>240</v>
      </c>
      <c r="B235" s="308" t="s">
        <v>1114</v>
      </c>
    </row>
    <row r="236">
      <c r="A236" s="308" t="s">
        <v>1117</v>
      </c>
      <c r="B236" s="308" t="s">
        <v>1118</v>
      </c>
    </row>
    <row r="237">
      <c r="A237" s="308" t="s">
        <v>565</v>
      </c>
      <c r="B237" s="308" t="s">
        <v>1119</v>
      </c>
    </row>
    <row r="238">
      <c r="A238" s="308" t="s">
        <v>1120</v>
      </c>
      <c r="B238" s="308" t="s">
        <v>1121</v>
      </c>
    </row>
    <row r="239">
      <c r="A239" s="308" t="s">
        <v>1122</v>
      </c>
      <c r="B239" s="308" t="s">
        <v>1123</v>
      </c>
    </row>
    <row r="240">
      <c r="A240" s="308" t="s">
        <v>1124</v>
      </c>
      <c r="B240" s="308" t="s">
        <v>1125</v>
      </c>
    </row>
    <row r="241">
      <c r="A241" s="308" t="s">
        <v>1126</v>
      </c>
      <c r="B241" s="308" t="s">
        <v>1127</v>
      </c>
    </row>
    <row r="242">
      <c r="A242" s="308" t="s">
        <v>1128</v>
      </c>
      <c r="B242" s="308" t="s">
        <v>1129</v>
      </c>
    </row>
    <row r="243">
      <c r="A243" s="308" t="s">
        <v>1130</v>
      </c>
      <c r="B243" s="308" t="s">
        <v>1131</v>
      </c>
    </row>
    <row r="244">
      <c r="A244" s="308" t="s">
        <v>1132</v>
      </c>
      <c r="B244" s="308" t="s">
        <v>1133</v>
      </c>
    </row>
    <row r="245">
      <c r="A245" s="308" t="s">
        <v>1134</v>
      </c>
      <c r="B245" s="308" t="s">
        <v>1135</v>
      </c>
    </row>
    <row r="246">
      <c r="A246" s="308" t="s">
        <v>22</v>
      </c>
      <c r="B246" s="308" t="s">
        <v>1136</v>
      </c>
    </row>
    <row r="247">
      <c r="A247" s="308" t="s">
        <v>1137</v>
      </c>
      <c r="B247" s="308" t="s">
        <v>1138</v>
      </c>
    </row>
    <row r="248">
      <c r="A248" s="308" t="s">
        <v>1139</v>
      </c>
      <c r="B248" s="308" t="s">
        <v>1140</v>
      </c>
    </row>
    <row r="249">
      <c r="A249" s="308" t="s">
        <v>142</v>
      </c>
      <c r="B249" s="308" t="s">
        <v>1141</v>
      </c>
    </row>
    <row r="250">
      <c r="A250" s="308" t="s">
        <v>1142</v>
      </c>
      <c r="B250" s="308" t="s">
        <v>1143</v>
      </c>
    </row>
    <row r="251">
      <c r="A251" s="308" t="s">
        <v>1144</v>
      </c>
      <c r="B251" s="308" t="s">
        <v>1145</v>
      </c>
    </row>
    <row r="252">
      <c r="A252" s="308" t="s">
        <v>1146</v>
      </c>
      <c r="B252" s="308" t="s">
        <v>1147</v>
      </c>
    </row>
    <row r="253">
      <c r="A253" s="308" t="s">
        <v>1148</v>
      </c>
      <c r="B253" s="308" t="s">
        <v>1149</v>
      </c>
    </row>
    <row r="254">
      <c r="A254" s="308" t="s">
        <v>1150</v>
      </c>
      <c r="B254" s="308" t="s">
        <v>1151</v>
      </c>
    </row>
    <row r="255">
      <c r="A255" s="308" t="s">
        <v>1152</v>
      </c>
      <c r="B255" s="308" t="s">
        <v>1153</v>
      </c>
    </row>
    <row r="256">
      <c r="A256" s="308" t="s">
        <v>396</v>
      </c>
      <c r="B256" s="308" t="s">
        <v>1154</v>
      </c>
    </row>
    <row r="257">
      <c r="A257" s="308" t="s">
        <v>1156</v>
      </c>
      <c r="B257" s="308" t="s">
        <v>1157</v>
      </c>
    </row>
    <row r="258">
      <c r="A258" s="308" t="s">
        <v>273</v>
      </c>
      <c r="B258" s="308" t="s">
        <v>1158</v>
      </c>
    </row>
    <row r="259">
      <c r="A259" s="308" t="s">
        <v>1159</v>
      </c>
      <c r="B259" s="308" t="s">
        <v>1160</v>
      </c>
    </row>
    <row r="260">
      <c r="A260" s="308" t="s">
        <v>1161</v>
      </c>
      <c r="B260" s="308" t="s">
        <v>1162</v>
      </c>
    </row>
    <row r="261">
      <c r="A261" s="309" t="s">
        <v>1163</v>
      </c>
      <c r="B261" s="308" t="s">
        <v>1164</v>
      </c>
    </row>
    <row r="262">
      <c r="A262" s="308" t="s">
        <v>1166</v>
      </c>
      <c r="B262" s="308" t="s">
        <v>1167</v>
      </c>
    </row>
    <row r="263">
      <c r="A263" s="308" t="s">
        <v>1168</v>
      </c>
      <c r="B263" s="308" t="s">
        <v>1169</v>
      </c>
    </row>
    <row r="264">
      <c r="A264" s="308" t="s">
        <v>1170</v>
      </c>
      <c r="B264" s="308" t="s">
        <v>1160</v>
      </c>
    </row>
    <row r="265">
      <c r="A265" s="308" t="s">
        <v>1171</v>
      </c>
      <c r="B265" s="308" t="s">
        <v>1172</v>
      </c>
    </row>
    <row r="266">
      <c r="A266" s="308" t="s">
        <v>1173</v>
      </c>
      <c r="B266" s="308" t="s">
        <v>1174</v>
      </c>
    </row>
    <row r="267">
      <c r="A267" s="308" t="s">
        <v>1176</v>
      </c>
      <c r="B267" s="308" t="s">
        <v>1177</v>
      </c>
    </row>
    <row r="268">
      <c r="A268" s="308" t="s">
        <v>1178</v>
      </c>
      <c r="B268" s="308" t="s">
        <v>1179</v>
      </c>
    </row>
    <row r="269">
      <c r="A269" s="308" t="s">
        <v>1180</v>
      </c>
      <c r="B269" s="308" t="s">
        <v>1181</v>
      </c>
    </row>
    <row r="270">
      <c r="A270" s="308" t="s">
        <v>1183</v>
      </c>
      <c r="B270" s="308" t="s">
        <v>1184</v>
      </c>
    </row>
    <row r="271">
      <c r="A271" s="308" t="s">
        <v>1185</v>
      </c>
      <c r="B271" s="308" t="s">
        <v>1186</v>
      </c>
    </row>
    <row r="272">
      <c r="A272" s="308" t="s">
        <v>1187</v>
      </c>
      <c r="B272" s="308" t="s">
        <v>1188</v>
      </c>
    </row>
    <row r="273">
      <c r="A273" s="308" t="s">
        <v>53</v>
      </c>
      <c r="B273" s="309" t="s">
        <v>1189</v>
      </c>
    </row>
    <row r="274">
      <c r="A274" s="308" t="s">
        <v>1190</v>
      </c>
      <c r="B274" s="308" t="s">
        <v>1191</v>
      </c>
    </row>
    <row r="275">
      <c r="A275" s="308" t="s">
        <v>1192</v>
      </c>
      <c r="B275" s="308" t="s">
        <v>1193</v>
      </c>
    </row>
    <row r="276">
      <c r="A276" s="308" t="s">
        <v>1194</v>
      </c>
      <c r="B276" s="308" t="s">
        <v>1196</v>
      </c>
    </row>
    <row r="277">
      <c r="A277" s="308" t="s">
        <v>1197</v>
      </c>
      <c r="B277" s="308" t="s">
        <v>1198</v>
      </c>
    </row>
    <row r="278">
      <c r="A278" s="308" t="s">
        <v>1199</v>
      </c>
      <c r="B278" s="308" t="s">
        <v>1200</v>
      </c>
    </row>
    <row r="279">
      <c r="A279" s="308" t="s">
        <v>1201</v>
      </c>
      <c r="B279" s="308" t="s">
        <v>1202</v>
      </c>
    </row>
    <row r="280">
      <c r="A280" s="308" t="s">
        <v>1203</v>
      </c>
      <c r="B280" s="308" t="s">
        <v>1204</v>
      </c>
    </row>
    <row r="281">
      <c r="A281" s="308" t="s">
        <v>1205</v>
      </c>
      <c r="B281" s="308" t="s">
        <v>1206</v>
      </c>
    </row>
    <row r="282">
      <c r="A282" s="308" t="s">
        <v>1207</v>
      </c>
      <c r="B282" s="308" t="s">
        <v>1208</v>
      </c>
    </row>
    <row r="283">
      <c r="A283" s="309" t="s">
        <v>298</v>
      </c>
      <c r="B283" s="308" t="s">
        <v>1209</v>
      </c>
    </row>
    <row r="284">
      <c r="A284" s="308" t="s">
        <v>1210</v>
      </c>
      <c r="B284" s="308" t="s">
        <v>1211</v>
      </c>
    </row>
    <row r="285">
      <c r="A285" s="308" t="s">
        <v>392</v>
      </c>
      <c r="B285" s="308" t="s">
        <v>1213</v>
      </c>
    </row>
    <row r="286">
      <c r="A286" s="308" t="s">
        <v>1214</v>
      </c>
      <c r="B286" s="308" t="s">
        <v>1215</v>
      </c>
    </row>
    <row r="287">
      <c r="A287" s="308" t="s">
        <v>1216</v>
      </c>
      <c r="B287" s="308" t="s">
        <v>1218</v>
      </c>
    </row>
    <row r="288">
      <c r="A288" s="308" t="s">
        <v>1219</v>
      </c>
      <c r="B288" s="308" t="s">
        <v>1220</v>
      </c>
    </row>
    <row r="289">
      <c r="A289" s="308" t="s">
        <v>1221</v>
      </c>
      <c r="B289" s="308" t="s">
        <v>1223</v>
      </c>
    </row>
    <row r="290">
      <c r="A290" s="308" t="s">
        <v>1224</v>
      </c>
      <c r="B290" s="308" t="s">
        <v>1225</v>
      </c>
    </row>
    <row r="291">
      <c r="A291" s="308" t="s">
        <v>1226</v>
      </c>
      <c r="B291" s="308" t="s">
        <v>1227</v>
      </c>
    </row>
    <row r="292">
      <c r="A292" s="308" t="s">
        <v>1228</v>
      </c>
      <c r="B292" s="308" t="s">
        <v>1229</v>
      </c>
    </row>
    <row r="293">
      <c r="A293" s="308" t="s">
        <v>1230</v>
      </c>
      <c r="B293" s="308" t="s">
        <v>1231</v>
      </c>
    </row>
    <row r="294">
      <c r="A294" s="308" t="s">
        <v>1232</v>
      </c>
      <c r="B294" s="308" t="s">
        <v>1233</v>
      </c>
    </row>
    <row r="295">
      <c r="A295" s="308" t="s">
        <v>1234</v>
      </c>
      <c r="B295" s="308" t="s">
        <v>760</v>
      </c>
    </row>
    <row r="296">
      <c r="A296" s="308" t="s">
        <v>101</v>
      </c>
      <c r="B296" s="308" t="s">
        <v>1235</v>
      </c>
    </row>
    <row r="297">
      <c r="A297" s="308" t="s">
        <v>68</v>
      </c>
      <c r="B297" s="308" t="s">
        <v>1236</v>
      </c>
    </row>
    <row r="298">
      <c r="A298" s="308" t="s">
        <v>1237</v>
      </c>
      <c r="B298" s="308" t="s">
        <v>1238</v>
      </c>
    </row>
    <row r="299">
      <c r="A299" s="308" t="s">
        <v>0</v>
      </c>
      <c r="B299" s="308" t="s">
        <v>1240</v>
      </c>
    </row>
    <row r="300">
      <c r="A300" s="309" t="s">
        <v>1241</v>
      </c>
      <c r="B300" s="308" t="s">
        <v>873</v>
      </c>
    </row>
    <row r="301">
      <c r="A301" s="308" t="s">
        <v>592</v>
      </c>
      <c r="B301" s="308" t="s">
        <v>896</v>
      </c>
    </row>
    <row r="302">
      <c r="A302" s="308" t="s">
        <v>1242</v>
      </c>
      <c r="B302" s="308" t="s">
        <v>1243</v>
      </c>
    </row>
    <row r="303">
      <c r="A303" s="308" t="s">
        <v>1244</v>
      </c>
      <c r="B303" s="308" t="s">
        <v>1245</v>
      </c>
    </row>
    <row r="304">
      <c r="A304" s="308" t="s">
        <v>1246</v>
      </c>
      <c r="B304" s="308" t="s">
        <v>1247</v>
      </c>
    </row>
    <row r="305">
      <c r="A305" s="308" t="s">
        <v>62</v>
      </c>
      <c r="B305" s="308" t="s">
        <v>1249</v>
      </c>
    </row>
    <row r="306">
      <c r="A306" s="308" t="s">
        <v>158</v>
      </c>
      <c r="B306" s="308" t="s">
        <v>1250</v>
      </c>
    </row>
    <row r="307">
      <c r="A307" s="308" t="s">
        <v>92</v>
      </c>
      <c r="B307" s="308" t="s">
        <v>1252</v>
      </c>
    </row>
    <row r="308">
      <c r="A308" s="308" t="s">
        <v>1253</v>
      </c>
      <c r="B308" s="308" t="s">
        <v>1254</v>
      </c>
    </row>
    <row r="309">
      <c r="A309" s="308" t="s">
        <v>1255</v>
      </c>
      <c r="B309" s="308" t="s">
        <v>1257</v>
      </c>
    </row>
    <row r="310">
      <c r="A310" s="308" t="s">
        <v>1258</v>
      </c>
      <c r="B310" s="308" t="s">
        <v>1259</v>
      </c>
    </row>
    <row r="311">
      <c r="A311" s="308" t="s">
        <v>1260</v>
      </c>
      <c r="B311" s="308" t="s">
        <v>1261</v>
      </c>
    </row>
    <row r="312">
      <c r="A312" s="308" t="s">
        <v>1262</v>
      </c>
      <c r="B312" s="308" t="s">
        <v>1264</v>
      </c>
    </row>
    <row r="313">
      <c r="A313" s="308" t="s">
        <v>1265</v>
      </c>
      <c r="B313" s="308" t="s">
        <v>1266</v>
      </c>
    </row>
    <row r="314">
      <c r="A314" s="308" t="s">
        <v>1267</v>
      </c>
      <c r="B314" s="308" t="s">
        <v>1269</v>
      </c>
    </row>
    <row r="315">
      <c r="A315" s="308" t="s">
        <v>1270</v>
      </c>
      <c r="B315" s="308" t="s">
        <v>1271</v>
      </c>
    </row>
    <row r="316">
      <c r="A316" s="308" t="s">
        <v>1272</v>
      </c>
      <c r="B316" s="308" t="s">
        <v>1273</v>
      </c>
    </row>
    <row r="317">
      <c r="A317" s="308" t="s">
        <v>1274</v>
      </c>
      <c r="B317" s="308" t="s">
        <v>1275</v>
      </c>
    </row>
    <row r="318">
      <c r="A318" s="308" t="s">
        <v>1276</v>
      </c>
      <c r="B318" s="308" t="s">
        <v>1277</v>
      </c>
    </row>
    <row r="319">
      <c r="A319" s="308" t="s">
        <v>147</v>
      </c>
      <c r="B319" s="308" t="s">
        <v>1279</v>
      </c>
    </row>
    <row r="320">
      <c r="A320" s="308" t="s">
        <v>1280</v>
      </c>
      <c r="B320" s="308" t="s">
        <v>1281</v>
      </c>
    </row>
    <row r="321">
      <c r="A321" s="308" t="s">
        <v>103</v>
      </c>
      <c r="B321" s="308" t="s">
        <v>1282</v>
      </c>
    </row>
    <row r="322">
      <c r="A322" s="308" t="s">
        <v>1283</v>
      </c>
      <c r="B322" s="308" t="s">
        <v>1284</v>
      </c>
    </row>
    <row r="323">
      <c r="A323" s="308" t="s">
        <v>1285</v>
      </c>
      <c r="B323" s="308" t="s">
        <v>1286</v>
      </c>
    </row>
    <row r="324">
      <c r="A324" s="308" t="s">
        <v>1287</v>
      </c>
      <c r="B324" s="308" t="s">
        <v>1288</v>
      </c>
    </row>
    <row r="325">
      <c r="A325" s="329" t="s">
        <v>1289</v>
      </c>
      <c r="B325" s="329" t="s">
        <v>1290</v>
      </c>
    </row>
    <row r="326">
      <c r="A326" s="329" t="s">
        <v>1291</v>
      </c>
      <c r="B326" s="329" t="s">
        <v>1292</v>
      </c>
    </row>
    <row r="327">
      <c r="A327" s="329" t="s">
        <v>1294</v>
      </c>
      <c r="B327" s="329" t="s">
        <v>1295</v>
      </c>
    </row>
    <row r="328">
      <c r="A328" s="329" t="s">
        <v>187</v>
      </c>
      <c r="B328" s="329" t="s">
        <v>1296</v>
      </c>
    </row>
    <row r="329">
      <c r="A329" s="329" t="s">
        <v>1297</v>
      </c>
      <c r="B329" s="329" t="s">
        <v>1298</v>
      </c>
    </row>
    <row r="330">
      <c r="A330" s="329" t="s">
        <v>1300</v>
      </c>
      <c r="B330" s="329" t="s">
        <v>1301</v>
      </c>
    </row>
    <row r="331">
      <c r="A331" s="329" t="s">
        <v>1302</v>
      </c>
      <c r="B331" s="329" t="s">
        <v>1303</v>
      </c>
    </row>
    <row r="332">
      <c r="A332" s="329" t="s">
        <v>112</v>
      </c>
      <c r="B332" s="329" t="s">
        <v>1305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4.43"/>
    <col customWidth="1" min="4" max="4" width="4.71"/>
    <col customWidth="1" min="5" max="5" width="3.86"/>
    <col customWidth="1" min="6" max="6" width="19.29"/>
    <col customWidth="1" min="7" max="7" width="21.29"/>
    <col customWidth="1" min="8" max="8" width="20.86"/>
    <col customWidth="1" min="9" max="9" width="16.86"/>
    <col customWidth="1" min="10" max="10" width="16.14"/>
    <col customWidth="1" min="11" max="11" width="21.14"/>
    <col customWidth="1" min="12" max="12" width="14.14"/>
    <col customWidth="1" min="13" max="13" width="26.29"/>
    <col customWidth="1" min="14" max="14" width="21.71"/>
    <col customWidth="1" min="15" max="15" width="23.14"/>
    <col customWidth="1" min="16" max="16" width="18.43"/>
    <col customWidth="1" min="17" max="36" width="9.0"/>
  </cols>
  <sheetData>
    <row r="1" ht="13.5" customHeight="1">
      <c r="A1" s="310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13.5" customHeight="1">
      <c r="A2" s="311"/>
      <c r="B2" s="193"/>
      <c r="C2" s="312"/>
      <c r="D2" s="313"/>
      <c r="E2" s="313"/>
      <c r="F2" s="314"/>
      <c r="G2" s="314"/>
      <c r="H2" s="314"/>
      <c r="I2" s="314"/>
      <c r="J2" s="314"/>
      <c r="K2" s="314"/>
      <c r="L2" s="314"/>
      <c r="M2" s="31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13.5" customHeight="1">
      <c r="A3" s="315" t="s">
        <v>826</v>
      </c>
      <c r="B3" s="316" t="s">
        <v>830</v>
      </c>
      <c r="C3" s="317" t="s">
        <v>835</v>
      </c>
      <c r="D3" s="317" t="s">
        <v>837</v>
      </c>
      <c r="E3" s="317" t="s">
        <v>838</v>
      </c>
      <c r="F3" s="315" t="s">
        <v>840</v>
      </c>
      <c r="G3" s="315" t="s">
        <v>842</v>
      </c>
      <c r="H3" s="315" t="s">
        <v>843</v>
      </c>
      <c r="I3" s="315" t="s">
        <v>844</v>
      </c>
      <c r="J3" s="315" t="s">
        <v>846</v>
      </c>
      <c r="K3" s="315" t="s">
        <v>847</v>
      </c>
      <c r="L3" s="315" t="s">
        <v>849</v>
      </c>
      <c r="M3" s="315" t="s">
        <v>850</v>
      </c>
      <c r="N3" s="315" t="s">
        <v>851</v>
      </c>
      <c r="O3" s="315" t="s">
        <v>852</v>
      </c>
      <c r="P3" s="315" t="s">
        <v>854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13.5" customHeight="1">
      <c r="A4" s="318" t="s">
        <v>858</v>
      </c>
      <c r="B4" s="319"/>
      <c r="C4" s="319"/>
      <c r="D4" s="319"/>
      <c r="E4" s="319"/>
      <c r="F4" s="320"/>
      <c r="G4" s="320"/>
      <c r="H4" s="320"/>
      <c r="I4" s="320"/>
      <c r="J4" s="320"/>
      <c r="K4" s="320"/>
      <c r="L4" s="320"/>
      <c r="M4" s="320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7.75" customHeight="1">
      <c r="A5" s="321">
        <v>1.0</v>
      </c>
      <c r="B5" s="321" t="s">
        <v>874</v>
      </c>
      <c r="C5" s="322" t="str">
        <f t="shared" ref="C5:E5" si="1">#REF!</f>
        <v>#REF!</v>
      </c>
      <c r="D5" s="323" t="str">
        <f t="shared" si="1"/>
        <v>#REF!</v>
      </c>
      <c r="E5" s="323" t="str">
        <f t="shared" si="1"/>
        <v>#REF!</v>
      </c>
      <c r="F5" s="324" t="s">
        <v>881</v>
      </c>
      <c r="G5" s="324" t="s">
        <v>883</v>
      </c>
      <c r="H5" s="324" t="s">
        <v>884</v>
      </c>
      <c r="I5" s="324" t="s">
        <v>884</v>
      </c>
      <c r="J5" s="324" t="s">
        <v>884</v>
      </c>
      <c r="K5" s="324" t="s">
        <v>884</v>
      </c>
      <c r="L5" s="324" t="s">
        <v>887</v>
      </c>
      <c r="M5" s="324"/>
      <c r="N5" s="323"/>
      <c r="O5" s="324"/>
      <c r="P5" s="324" t="s">
        <v>889</v>
      </c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</row>
    <row r="6" ht="27.75" customHeight="1">
      <c r="A6" s="321">
        <v>2.0</v>
      </c>
      <c r="B6" s="321" t="s">
        <v>894</v>
      </c>
      <c r="C6" s="322" t="str">
        <f t="shared" ref="C6:E6" si="2">#REF!</f>
        <v>#REF!</v>
      </c>
      <c r="D6" s="323" t="str">
        <f t="shared" si="2"/>
        <v>#REF!</v>
      </c>
      <c r="E6" s="323" t="str">
        <f t="shared" si="2"/>
        <v>#REF!</v>
      </c>
      <c r="F6" s="324" t="s">
        <v>884</v>
      </c>
      <c r="G6" s="324" t="s">
        <v>884</v>
      </c>
      <c r="H6" s="324" t="s">
        <v>884</v>
      </c>
      <c r="I6" s="324" t="s">
        <v>884</v>
      </c>
      <c r="J6" s="324" t="s">
        <v>884</v>
      </c>
      <c r="K6" s="324" t="s">
        <v>884</v>
      </c>
      <c r="L6" s="324" t="s">
        <v>884</v>
      </c>
      <c r="M6" s="324" t="s">
        <v>904</v>
      </c>
      <c r="N6" s="193"/>
      <c r="O6" s="324"/>
      <c r="P6" s="324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</row>
    <row r="7" ht="27.75" customHeight="1">
      <c r="A7" s="321">
        <v>3.0</v>
      </c>
      <c r="B7" s="321" t="s">
        <v>911</v>
      </c>
      <c r="C7" s="322" t="str">
        <f t="shared" ref="C7:E7" si="3">#REF!</f>
        <v>#REF!</v>
      </c>
      <c r="D7" s="323" t="str">
        <f t="shared" si="3"/>
        <v>#REF!</v>
      </c>
      <c r="E7" s="323" t="str">
        <f t="shared" si="3"/>
        <v>#REF!</v>
      </c>
      <c r="F7" s="324" t="s">
        <v>884</v>
      </c>
      <c r="G7" s="324" t="s">
        <v>918</v>
      </c>
      <c r="H7" s="324" t="s">
        <v>884</v>
      </c>
      <c r="I7" s="324" t="s">
        <v>884</v>
      </c>
      <c r="J7" s="324" t="s">
        <v>884</v>
      </c>
      <c r="K7" s="324" t="s">
        <v>884</v>
      </c>
      <c r="L7" s="324" t="s">
        <v>884</v>
      </c>
      <c r="M7" s="324"/>
      <c r="N7" s="324" t="s">
        <v>920</v>
      </c>
      <c r="O7" s="324"/>
      <c r="P7" s="3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t="27.75" customHeight="1">
      <c r="A8" s="321">
        <v>4.0</v>
      </c>
      <c r="B8" s="321" t="s">
        <v>118</v>
      </c>
      <c r="C8" s="322" t="str">
        <f t="shared" ref="C8:E8" si="4">#REF!</f>
        <v>#REF!</v>
      </c>
      <c r="D8" s="323" t="str">
        <f t="shared" si="4"/>
        <v>#REF!</v>
      </c>
      <c r="E8" s="323" t="str">
        <f t="shared" si="4"/>
        <v>#REF!</v>
      </c>
      <c r="F8" s="324" t="s">
        <v>884</v>
      </c>
      <c r="G8" s="324" t="s">
        <v>884</v>
      </c>
      <c r="H8" s="324" t="s">
        <v>884</v>
      </c>
      <c r="I8" s="324" t="s">
        <v>884</v>
      </c>
      <c r="J8" s="324" t="s">
        <v>933</v>
      </c>
      <c r="K8" s="324" t="s">
        <v>884</v>
      </c>
      <c r="L8" s="324" t="s">
        <v>884</v>
      </c>
      <c r="M8" s="324"/>
      <c r="N8" s="7"/>
      <c r="O8" s="324"/>
      <c r="P8" s="32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7.75" customHeight="1">
      <c r="A9" s="321">
        <v>5.0</v>
      </c>
      <c r="B9" s="321" t="s">
        <v>910</v>
      </c>
      <c r="C9" s="322" t="str">
        <f t="shared" ref="C9:E9" si="5">#REF!</f>
        <v>#REF!</v>
      </c>
      <c r="D9" s="323" t="str">
        <f t="shared" si="5"/>
        <v>#REF!</v>
      </c>
      <c r="E9" s="323" t="str">
        <f t="shared" si="5"/>
        <v>#REF!</v>
      </c>
      <c r="F9" s="324" t="s">
        <v>884</v>
      </c>
      <c r="G9" s="324" t="s">
        <v>942</v>
      </c>
      <c r="H9" s="324" t="s">
        <v>884</v>
      </c>
      <c r="I9" s="324" t="s">
        <v>884</v>
      </c>
      <c r="J9" s="324" t="s">
        <v>884</v>
      </c>
      <c r="K9" s="324" t="s">
        <v>884</v>
      </c>
      <c r="L9" s="324" t="s">
        <v>884</v>
      </c>
      <c r="M9" s="324"/>
      <c r="N9" s="7"/>
      <c r="O9" s="324"/>
      <c r="P9" s="32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t="13.5" customHeight="1">
      <c r="A10" s="325"/>
      <c r="B10" s="326"/>
      <c r="C10" s="327"/>
      <c r="D10" s="7"/>
      <c r="E10" s="7"/>
      <c r="F10" s="328"/>
      <c r="G10" s="328"/>
      <c r="H10" s="328"/>
      <c r="I10" s="328"/>
      <c r="J10" s="328"/>
      <c r="K10" s="328"/>
      <c r="L10" s="328"/>
      <c r="M10" s="328"/>
      <c r="N10" s="193"/>
      <c r="O10" s="324"/>
      <c r="P10" s="324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</row>
    <row r="11" ht="13.5" customHeight="1">
      <c r="A11" s="318" t="s">
        <v>960</v>
      </c>
      <c r="B11" s="319"/>
      <c r="C11" s="319"/>
      <c r="D11" s="319"/>
      <c r="E11" s="319"/>
      <c r="F11" s="320"/>
      <c r="G11" s="320"/>
      <c r="H11" s="320"/>
      <c r="I11" s="320"/>
      <c r="J11" s="320"/>
      <c r="K11" s="320"/>
      <c r="L11" s="320"/>
      <c r="M11" s="240"/>
      <c r="N11" s="7"/>
      <c r="O11" s="324"/>
      <c r="P11" s="32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7.75" customHeight="1">
      <c r="A12" s="321">
        <v>1.0</v>
      </c>
      <c r="B12" s="321" t="s">
        <v>972</v>
      </c>
      <c r="C12" s="322" t="str">
        <f t="shared" ref="C12:E12" si="6">#REF!</f>
        <v>#REF!</v>
      </c>
      <c r="D12" s="323" t="str">
        <f t="shared" si="6"/>
        <v>#REF!</v>
      </c>
      <c r="E12" s="323" t="str">
        <f t="shared" si="6"/>
        <v>#REF!</v>
      </c>
      <c r="F12" s="324" t="s">
        <v>884</v>
      </c>
      <c r="G12" s="324" t="s">
        <v>884</v>
      </c>
      <c r="H12" s="324" t="s">
        <v>884</v>
      </c>
      <c r="I12" s="324" t="s">
        <v>884</v>
      </c>
      <c r="J12" s="324" t="s">
        <v>933</v>
      </c>
      <c r="K12" s="324" t="s">
        <v>884</v>
      </c>
      <c r="L12" s="324" t="s">
        <v>884</v>
      </c>
      <c r="M12" s="324" t="s">
        <v>981</v>
      </c>
      <c r="N12" s="324" t="s">
        <v>920</v>
      </c>
      <c r="O12" s="324"/>
      <c r="P12" s="324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</row>
    <row r="13" ht="27.75" customHeight="1">
      <c r="A13" s="321">
        <v>2.0</v>
      </c>
      <c r="B13" s="321" t="s">
        <v>78</v>
      </c>
      <c r="C13" s="322" t="str">
        <f t="shared" ref="C13:E13" si="7">#REF!</f>
        <v>#REF!</v>
      </c>
      <c r="D13" s="323" t="str">
        <f t="shared" si="7"/>
        <v>#REF!</v>
      </c>
      <c r="E13" s="323" t="str">
        <f t="shared" si="7"/>
        <v>#REF!</v>
      </c>
      <c r="F13" s="324" t="s">
        <v>884</v>
      </c>
      <c r="G13" s="324" t="s">
        <v>884</v>
      </c>
      <c r="H13" s="324" t="s">
        <v>884</v>
      </c>
      <c r="I13" s="324" t="s">
        <v>884</v>
      </c>
      <c r="J13" s="324" t="s">
        <v>884</v>
      </c>
      <c r="K13" s="324" t="s">
        <v>884</v>
      </c>
      <c r="L13" s="324" t="s">
        <v>884</v>
      </c>
      <c r="M13" s="324"/>
      <c r="N13" s="324"/>
      <c r="O13" s="324" t="s">
        <v>1001</v>
      </c>
      <c r="P13" s="324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</row>
    <row r="14" ht="27.75" customHeight="1">
      <c r="A14" s="321">
        <v>3.0</v>
      </c>
      <c r="B14" s="321" t="s">
        <v>363</v>
      </c>
      <c r="C14" s="322" t="str">
        <f t="shared" ref="C14:E14" si="8">#REF!</f>
        <v>#REF!</v>
      </c>
      <c r="D14" s="323" t="str">
        <f t="shared" si="8"/>
        <v>#REF!</v>
      </c>
      <c r="E14" s="323" t="str">
        <f t="shared" si="8"/>
        <v>#REF!</v>
      </c>
      <c r="F14" s="324" t="s">
        <v>884</v>
      </c>
      <c r="G14" s="324" t="s">
        <v>918</v>
      </c>
      <c r="H14" s="324" t="s">
        <v>884</v>
      </c>
      <c r="I14" s="324" t="s">
        <v>1011</v>
      </c>
      <c r="J14" s="324" t="s">
        <v>884</v>
      </c>
      <c r="K14" s="324" t="s">
        <v>884</v>
      </c>
      <c r="L14" s="324" t="s">
        <v>884</v>
      </c>
      <c r="M14" s="324"/>
      <c r="N14" s="324" t="s">
        <v>1014</v>
      </c>
      <c r="O14" s="324"/>
      <c r="P14" s="324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</row>
    <row r="15" ht="27.75" customHeight="1">
      <c r="A15" s="321">
        <v>4.0</v>
      </c>
      <c r="B15" s="321" t="s">
        <v>1020</v>
      </c>
      <c r="C15" s="322" t="str">
        <f t="shared" ref="C15:E15" si="9">#REF!</f>
        <v>#REF!</v>
      </c>
      <c r="D15" s="323" t="str">
        <f t="shared" si="9"/>
        <v>#REF!</v>
      </c>
      <c r="E15" s="323" t="str">
        <f t="shared" si="9"/>
        <v>#REF!</v>
      </c>
      <c r="F15" s="324" t="s">
        <v>884</v>
      </c>
      <c r="G15" s="324" t="s">
        <v>942</v>
      </c>
      <c r="H15" s="324" t="s">
        <v>884</v>
      </c>
      <c r="I15" s="324" t="s">
        <v>884</v>
      </c>
      <c r="J15" s="324" t="s">
        <v>884</v>
      </c>
      <c r="K15" s="324" t="s">
        <v>884</v>
      </c>
      <c r="L15" s="324" t="s">
        <v>884</v>
      </c>
      <c r="M15" s="324"/>
      <c r="N15" s="324"/>
      <c r="O15" s="324"/>
      <c r="P15" s="324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</row>
    <row r="16" ht="27.75" customHeight="1">
      <c r="A16" s="321">
        <v>5.0</v>
      </c>
      <c r="B16" s="321" t="s">
        <v>1036</v>
      </c>
      <c r="C16" s="322" t="str">
        <f t="shared" ref="C16:E16" si="10">#REF!</f>
        <v>#REF!</v>
      </c>
      <c r="D16" s="323" t="str">
        <f t="shared" si="10"/>
        <v>#REF!</v>
      </c>
      <c r="E16" s="323" t="str">
        <f t="shared" si="10"/>
        <v>#REF!</v>
      </c>
      <c r="F16" s="324" t="s">
        <v>881</v>
      </c>
      <c r="G16" s="324" t="s">
        <v>884</v>
      </c>
      <c r="H16" s="324" t="s">
        <v>884</v>
      </c>
      <c r="I16" s="324" t="s">
        <v>884</v>
      </c>
      <c r="J16" s="324" t="s">
        <v>884</v>
      </c>
      <c r="K16" s="324" t="s">
        <v>884</v>
      </c>
      <c r="L16" s="324" t="s">
        <v>884</v>
      </c>
      <c r="M16" s="324"/>
      <c r="N16" s="324" t="s">
        <v>1014</v>
      </c>
      <c r="O16" s="324" t="s">
        <v>920</v>
      </c>
      <c r="P16" s="32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7.75" customHeight="1">
      <c r="A17" s="321">
        <v>6.0</v>
      </c>
      <c r="B17" s="321" t="s">
        <v>1051</v>
      </c>
      <c r="C17" s="322" t="str">
        <f t="shared" ref="C17:E17" si="11">#REF!</f>
        <v>#REF!</v>
      </c>
      <c r="D17" s="323" t="str">
        <f t="shared" si="11"/>
        <v>#REF!</v>
      </c>
      <c r="E17" s="323" t="str">
        <f t="shared" si="11"/>
        <v>#REF!</v>
      </c>
      <c r="F17" s="324" t="s">
        <v>884</v>
      </c>
      <c r="G17" s="324" t="s">
        <v>884</v>
      </c>
      <c r="H17" s="324" t="s">
        <v>1057</v>
      </c>
      <c r="I17" s="324" t="s">
        <v>884</v>
      </c>
      <c r="J17" s="324" t="s">
        <v>884</v>
      </c>
      <c r="K17" s="324" t="s">
        <v>884</v>
      </c>
      <c r="L17" s="324" t="s">
        <v>884</v>
      </c>
      <c r="M17" s="324"/>
      <c r="N17" s="324"/>
      <c r="O17" s="324"/>
      <c r="P17" s="32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7.75" customHeight="1">
      <c r="A18" s="321">
        <v>7.0</v>
      </c>
      <c r="B18" s="321" t="s">
        <v>1065</v>
      </c>
      <c r="C18" s="322" t="str">
        <f t="shared" ref="C18:E18" si="12">#REF!</f>
        <v>#REF!</v>
      </c>
      <c r="D18" s="323" t="str">
        <f t="shared" si="12"/>
        <v>#REF!</v>
      </c>
      <c r="E18" s="323" t="str">
        <f t="shared" si="12"/>
        <v>#REF!</v>
      </c>
      <c r="F18" s="324" t="s">
        <v>884</v>
      </c>
      <c r="G18" s="324" t="s">
        <v>884</v>
      </c>
      <c r="H18" s="324" t="s">
        <v>1057</v>
      </c>
      <c r="I18" s="324" t="s">
        <v>884</v>
      </c>
      <c r="J18" s="324" t="s">
        <v>884</v>
      </c>
      <c r="K18" s="324" t="s">
        <v>884</v>
      </c>
      <c r="L18" s="324" t="s">
        <v>884</v>
      </c>
      <c r="M18" s="324" t="s">
        <v>1070</v>
      </c>
      <c r="N18" s="324"/>
      <c r="O18" s="32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t="27.75" customHeight="1">
      <c r="A19" s="321">
        <v>8.0</v>
      </c>
      <c r="B19" s="321" t="s">
        <v>1076</v>
      </c>
      <c r="C19" s="322" t="str">
        <f t="shared" ref="C19:E19" si="13">#REF!</f>
        <v>#REF!</v>
      </c>
      <c r="D19" s="323" t="str">
        <f t="shared" si="13"/>
        <v>#REF!</v>
      </c>
      <c r="E19" s="323" t="str">
        <f t="shared" si="13"/>
        <v>#REF!</v>
      </c>
      <c r="F19" s="324" t="s">
        <v>884</v>
      </c>
      <c r="G19" s="324" t="s">
        <v>884</v>
      </c>
      <c r="H19" s="324" t="s">
        <v>884</v>
      </c>
      <c r="I19" s="324" t="s">
        <v>884</v>
      </c>
      <c r="J19" s="324" t="s">
        <v>933</v>
      </c>
      <c r="K19" s="324" t="s">
        <v>884</v>
      </c>
      <c r="L19" s="324" t="s">
        <v>884</v>
      </c>
      <c r="M19" s="324"/>
      <c r="N19" s="324"/>
      <c r="O19" s="32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27.75" customHeight="1">
      <c r="A20" s="321">
        <v>9.0</v>
      </c>
      <c r="B20" s="321" t="s">
        <v>803</v>
      </c>
      <c r="C20" s="322" t="str">
        <f t="shared" ref="C20:E20" si="14">#REF!</f>
        <v>#REF!</v>
      </c>
      <c r="D20" s="323" t="str">
        <f t="shared" si="14"/>
        <v>#REF!</v>
      </c>
      <c r="E20" s="323" t="str">
        <f t="shared" si="14"/>
        <v>#REF!</v>
      </c>
      <c r="F20" s="324" t="s">
        <v>884</v>
      </c>
      <c r="G20" s="324" t="s">
        <v>884</v>
      </c>
      <c r="H20" s="324" t="s">
        <v>884</v>
      </c>
      <c r="I20" s="324" t="s">
        <v>884</v>
      </c>
      <c r="J20" s="324" t="s">
        <v>884</v>
      </c>
      <c r="K20" s="324" t="s">
        <v>884</v>
      </c>
      <c r="L20" s="324" t="s">
        <v>884</v>
      </c>
      <c r="M20" s="324"/>
      <c r="N20" s="324" t="s">
        <v>1092</v>
      </c>
      <c r="O20" s="324"/>
      <c r="P20" s="32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27.75" customHeight="1">
      <c r="A21" s="321">
        <v>10.0</v>
      </c>
      <c r="B21" s="321" t="s">
        <v>359</v>
      </c>
      <c r="C21" s="322" t="str">
        <f t="shared" ref="C21:E21" si="15">#REF!</f>
        <v>#REF!</v>
      </c>
      <c r="D21" s="323" t="str">
        <f t="shared" si="15"/>
        <v>#REF!</v>
      </c>
      <c r="E21" s="323" t="str">
        <f t="shared" si="15"/>
        <v>#REF!</v>
      </c>
      <c r="F21" s="324" t="s">
        <v>884</v>
      </c>
      <c r="G21" s="324" t="s">
        <v>884</v>
      </c>
      <c r="H21" s="324" t="s">
        <v>1102</v>
      </c>
      <c r="I21" s="324" t="s">
        <v>884</v>
      </c>
      <c r="J21" s="324" t="s">
        <v>884</v>
      </c>
      <c r="K21" s="324" t="s">
        <v>884</v>
      </c>
      <c r="L21" s="324" t="s">
        <v>884</v>
      </c>
      <c r="M21" s="324" t="s">
        <v>1104</v>
      </c>
      <c r="N21" s="324"/>
      <c r="O21" s="324" t="s">
        <v>920</v>
      </c>
      <c r="P21" s="32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27.75" customHeight="1">
      <c r="A22" s="321">
        <v>11.0</v>
      </c>
      <c r="B22" s="321" t="s">
        <v>51</v>
      </c>
      <c r="C22" s="322" t="str">
        <f t="shared" ref="C22:E22" si="16">#REF!</f>
        <v>#REF!</v>
      </c>
      <c r="D22" s="323" t="str">
        <f t="shared" si="16"/>
        <v>#REF!</v>
      </c>
      <c r="E22" s="323" t="str">
        <f t="shared" si="16"/>
        <v>#REF!</v>
      </c>
      <c r="F22" s="324" t="s">
        <v>884</v>
      </c>
      <c r="G22" s="324" t="s">
        <v>918</v>
      </c>
      <c r="H22" s="324" t="s">
        <v>884</v>
      </c>
      <c r="I22" s="324" t="s">
        <v>1115</v>
      </c>
      <c r="J22" s="324" t="s">
        <v>884</v>
      </c>
      <c r="K22" s="324" t="s">
        <v>884</v>
      </c>
      <c r="L22" s="324" t="s">
        <v>884</v>
      </c>
      <c r="M22" s="324" t="s">
        <v>1116</v>
      </c>
      <c r="N22" s="324"/>
      <c r="O22" s="324"/>
      <c r="P22" s="3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t="27.75" customHeight="1">
      <c r="A23" s="321">
        <v>12.0</v>
      </c>
      <c r="B23" s="321" t="s">
        <v>33</v>
      </c>
      <c r="C23" s="322" t="str">
        <f t="shared" ref="C23:E23" si="17">#REF!</f>
        <v>#REF!</v>
      </c>
      <c r="D23" s="323" t="str">
        <f t="shared" si="17"/>
        <v>#REF!</v>
      </c>
      <c r="E23" s="323" t="str">
        <f t="shared" si="17"/>
        <v>#REF!</v>
      </c>
      <c r="F23" s="324" t="s">
        <v>884</v>
      </c>
      <c r="G23" s="324" t="s">
        <v>884</v>
      </c>
      <c r="H23" s="324" t="s">
        <v>884</v>
      </c>
      <c r="I23" s="324" t="s">
        <v>1115</v>
      </c>
      <c r="J23" s="324" t="s">
        <v>884</v>
      </c>
      <c r="K23" s="324" t="s">
        <v>884</v>
      </c>
      <c r="L23" s="324" t="s">
        <v>884</v>
      </c>
      <c r="M23" s="324"/>
      <c r="N23" s="324"/>
      <c r="O23" s="324"/>
      <c r="P23" s="3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t="27.75" customHeight="1">
      <c r="A24" s="321">
        <v>13.0</v>
      </c>
      <c r="B24" s="321" t="s">
        <v>299</v>
      </c>
      <c r="C24" s="322" t="str">
        <f t="shared" ref="C24:E24" si="18">#REF!</f>
        <v>#REF!</v>
      </c>
      <c r="D24" s="323" t="str">
        <f t="shared" si="18"/>
        <v>#REF!</v>
      </c>
      <c r="E24" s="323" t="str">
        <f t="shared" si="18"/>
        <v>#REF!</v>
      </c>
      <c r="F24" s="324" t="s">
        <v>884</v>
      </c>
      <c r="G24" s="324" t="s">
        <v>884</v>
      </c>
      <c r="H24" s="324" t="s">
        <v>884</v>
      </c>
      <c r="I24" s="324" t="s">
        <v>884</v>
      </c>
      <c r="J24" s="324" t="s">
        <v>884</v>
      </c>
      <c r="K24" s="324" t="s">
        <v>884</v>
      </c>
      <c r="L24" s="324" t="s">
        <v>884</v>
      </c>
      <c r="M24" s="324"/>
      <c r="N24" s="324"/>
      <c r="O24" s="324"/>
      <c r="P24" s="3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27.75" customHeight="1">
      <c r="A25" s="321">
        <v>14.0</v>
      </c>
      <c r="B25" s="321" t="s">
        <v>196</v>
      </c>
      <c r="C25" s="322" t="str">
        <f t="shared" ref="C25:E25" si="19">#REF!</f>
        <v>#REF!</v>
      </c>
      <c r="D25" s="323" t="str">
        <f t="shared" si="19"/>
        <v>#REF!</v>
      </c>
      <c r="E25" s="323" t="str">
        <f t="shared" si="19"/>
        <v>#REF!</v>
      </c>
      <c r="F25" s="324" t="s">
        <v>884</v>
      </c>
      <c r="G25" s="324" t="s">
        <v>884</v>
      </c>
      <c r="H25" s="324" t="s">
        <v>884</v>
      </c>
      <c r="I25" s="324" t="s">
        <v>884</v>
      </c>
      <c r="J25" s="324" t="s">
        <v>884</v>
      </c>
      <c r="K25" s="324" t="s">
        <v>884</v>
      </c>
      <c r="L25" s="324" t="s">
        <v>884</v>
      </c>
      <c r="M25" s="324"/>
      <c r="N25" s="324"/>
      <c r="O25" s="324"/>
      <c r="P25" s="3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27.75" customHeight="1">
      <c r="A26" s="321">
        <v>15.0</v>
      </c>
      <c r="B26" s="321" t="s">
        <v>255</v>
      </c>
      <c r="C26" s="322" t="str">
        <f t="shared" ref="C26:E26" si="20">#REF!</f>
        <v>#REF!</v>
      </c>
      <c r="D26" s="323" t="str">
        <f t="shared" si="20"/>
        <v>#REF!</v>
      </c>
      <c r="E26" s="323" t="str">
        <f t="shared" si="20"/>
        <v>#REF!</v>
      </c>
      <c r="F26" s="324" t="s">
        <v>884</v>
      </c>
      <c r="G26" s="324" t="s">
        <v>1155</v>
      </c>
      <c r="H26" s="324" t="s">
        <v>1057</v>
      </c>
      <c r="I26" s="324" t="s">
        <v>884</v>
      </c>
      <c r="J26" s="324" t="s">
        <v>933</v>
      </c>
      <c r="K26" s="324" t="s">
        <v>884</v>
      </c>
      <c r="L26" s="324" t="s">
        <v>884</v>
      </c>
      <c r="M26" s="324" t="s">
        <v>1070</v>
      </c>
      <c r="N26" s="324"/>
      <c r="O26" s="324"/>
      <c r="P26" s="3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ht="27.75" customHeight="1">
      <c r="A27" s="321">
        <v>16.0</v>
      </c>
      <c r="B27" s="321" t="s">
        <v>1165</v>
      </c>
      <c r="C27" s="322" t="str">
        <f t="shared" ref="C27:E27" si="21">#REF!</f>
        <v>#REF!</v>
      </c>
      <c r="D27" s="323" t="str">
        <f t="shared" si="21"/>
        <v>#REF!</v>
      </c>
      <c r="E27" s="323" t="str">
        <f t="shared" si="21"/>
        <v>#REF!</v>
      </c>
      <c r="F27" s="324" t="s">
        <v>884</v>
      </c>
      <c r="G27" s="324" t="s">
        <v>884</v>
      </c>
      <c r="H27" s="324" t="s">
        <v>884</v>
      </c>
      <c r="I27" s="324" t="s">
        <v>884</v>
      </c>
      <c r="J27" s="324" t="s">
        <v>884</v>
      </c>
      <c r="K27" s="324" t="s">
        <v>884</v>
      </c>
      <c r="L27" s="324" t="s">
        <v>884</v>
      </c>
      <c r="M27" s="324"/>
      <c r="N27" s="324"/>
      <c r="O27" s="324"/>
      <c r="P27" s="3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27.75" customHeight="1">
      <c r="A28" s="321">
        <v>17.0</v>
      </c>
      <c r="B28" s="321" t="s">
        <v>1175</v>
      </c>
      <c r="C28" s="322" t="str">
        <f t="shared" ref="C28:E28" si="22">#REF!</f>
        <v>#REF!</v>
      </c>
      <c r="D28" s="323" t="str">
        <f t="shared" si="22"/>
        <v>#REF!</v>
      </c>
      <c r="E28" s="323" t="str">
        <f t="shared" si="22"/>
        <v>#REF!</v>
      </c>
      <c r="F28" s="324" t="s">
        <v>884</v>
      </c>
      <c r="G28" s="324" t="s">
        <v>884</v>
      </c>
      <c r="H28" s="324" t="s">
        <v>884</v>
      </c>
      <c r="I28" s="324" t="s">
        <v>1182</v>
      </c>
      <c r="J28" s="324" t="s">
        <v>884</v>
      </c>
      <c r="K28" s="324" t="s">
        <v>884</v>
      </c>
      <c r="L28" s="324" t="s">
        <v>884</v>
      </c>
      <c r="M28" s="324"/>
      <c r="N28" s="324"/>
      <c r="O28" s="324"/>
      <c r="P28" s="32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27.75" customHeight="1">
      <c r="A29" s="321">
        <v>18.0</v>
      </c>
      <c r="B29" s="321" t="s">
        <v>741</v>
      </c>
      <c r="C29" s="322" t="str">
        <f t="shared" ref="C29:E29" si="23">#REF!</f>
        <v>#REF!</v>
      </c>
      <c r="D29" s="323" t="str">
        <f t="shared" si="23"/>
        <v>#REF!</v>
      </c>
      <c r="E29" s="323" t="str">
        <f t="shared" si="23"/>
        <v>#REF!</v>
      </c>
      <c r="F29" s="324" t="s">
        <v>884</v>
      </c>
      <c r="G29" s="324" t="s">
        <v>1155</v>
      </c>
      <c r="H29" s="324" t="s">
        <v>884</v>
      </c>
      <c r="I29" s="324" t="s">
        <v>884</v>
      </c>
      <c r="J29" s="324" t="s">
        <v>884</v>
      </c>
      <c r="K29" s="324" t="s">
        <v>884</v>
      </c>
      <c r="L29" s="324" t="s">
        <v>884</v>
      </c>
      <c r="M29" s="324" t="s">
        <v>1195</v>
      </c>
      <c r="N29" s="324"/>
      <c r="O29" s="324" t="s">
        <v>920</v>
      </c>
      <c r="P29" s="32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27.75" customHeight="1">
      <c r="A30" s="321">
        <v>19.0</v>
      </c>
      <c r="B30" s="321" t="s">
        <v>105</v>
      </c>
      <c r="C30" s="322" t="str">
        <f t="shared" ref="C30:E30" si="24">#REF!</f>
        <v>#REF!</v>
      </c>
      <c r="D30" s="323" t="str">
        <f t="shared" si="24"/>
        <v>#REF!</v>
      </c>
      <c r="E30" s="323" t="str">
        <f t="shared" si="24"/>
        <v>#REF!</v>
      </c>
      <c r="F30" s="324" t="s">
        <v>884</v>
      </c>
      <c r="G30" s="324" t="s">
        <v>884</v>
      </c>
      <c r="H30" s="324" t="s">
        <v>884</v>
      </c>
      <c r="I30" s="324" t="s">
        <v>1115</v>
      </c>
      <c r="J30" s="324" t="s">
        <v>933</v>
      </c>
      <c r="K30" s="324" t="s">
        <v>884</v>
      </c>
      <c r="L30" s="324" t="s">
        <v>884</v>
      </c>
      <c r="M30" s="324"/>
      <c r="N30" s="324" t="s">
        <v>920</v>
      </c>
      <c r="O30" s="324"/>
      <c r="P30" s="3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ht="27.75" customHeight="1">
      <c r="A31" s="321">
        <v>20.0</v>
      </c>
      <c r="B31" s="321" t="s">
        <v>1212</v>
      </c>
      <c r="C31" s="322" t="str">
        <f t="shared" ref="C31:E31" si="25">#REF!</f>
        <v>#REF!</v>
      </c>
      <c r="D31" s="323" t="str">
        <f t="shared" si="25"/>
        <v>#REF!</v>
      </c>
      <c r="E31" s="323" t="str">
        <f t="shared" si="25"/>
        <v>#REF!</v>
      </c>
      <c r="F31" s="324" t="s">
        <v>884</v>
      </c>
      <c r="G31" s="324" t="s">
        <v>884</v>
      </c>
      <c r="H31" s="324" t="s">
        <v>1057</v>
      </c>
      <c r="I31" s="324" t="s">
        <v>884</v>
      </c>
      <c r="J31" s="324" t="s">
        <v>884</v>
      </c>
      <c r="K31" s="324" t="s">
        <v>884</v>
      </c>
      <c r="L31" s="324" t="s">
        <v>884</v>
      </c>
      <c r="M31" s="324"/>
      <c r="N31" s="324"/>
      <c r="O31" s="324"/>
      <c r="P31" s="324" t="s">
        <v>1217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ht="27.75" customHeight="1">
      <c r="A32" s="321">
        <v>21.0</v>
      </c>
      <c r="B32" s="321" t="s">
        <v>1222</v>
      </c>
      <c r="C32" s="322" t="str">
        <f t="shared" ref="C32:E32" si="26">#REF!</f>
        <v>#REF!</v>
      </c>
      <c r="D32" s="323" t="str">
        <f t="shared" si="26"/>
        <v>#REF!</v>
      </c>
      <c r="E32" s="323" t="str">
        <f t="shared" si="26"/>
        <v>#REF!</v>
      </c>
      <c r="F32" s="324" t="s">
        <v>884</v>
      </c>
      <c r="G32" s="324" t="s">
        <v>884</v>
      </c>
      <c r="H32" s="324" t="s">
        <v>884</v>
      </c>
      <c r="I32" s="324" t="s">
        <v>884</v>
      </c>
      <c r="J32" s="324" t="s">
        <v>884</v>
      </c>
      <c r="K32" s="324" t="s">
        <v>884</v>
      </c>
      <c r="L32" s="324" t="s">
        <v>884</v>
      </c>
      <c r="M32" s="324"/>
      <c r="N32" s="324"/>
      <c r="O32" s="324"/>
      <c r="P32" s="32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27.75" customHeight="1">
      <c r="A33" s="321">
        <v>22.0</v>
      </c>
      <c r="B33" s="321" t="s">
        <v>716</v>
      </c>
      <c r="C33" s="322" t="str">
        <f t="shared" ref="C33:E33" si="27">#REF!</f>
        <v>#REF!</v>
      </c>
      <c r="D33" s="323" t="str">
        <f t="shared" si="27"/>
        <v>#REF!</v>
      </c>
      <c r="E33" s="323" t="str">
        <f t="shared" si="27"/>
        <v>#REF!</v>
      </c>
      <c r="F33" s="324" t="s">
        <v>884</v>
      </c>
      <c r="G33" s="324" t="s">
        <v>884</v>
      </c>
      <c r="H33" s="324" t="s">
        <v>884</v>
      </c>
      <c r="I33" s="324" t="s">
        <v>1115</v>
      </c>
      <c r="J33" s="324" t="s">
        <v>933</v>
      </c>
      <c r="K33" s="324" t="s">
        <v>884</v>
      </c>
      <c r="L33" s="324" t="s">
        <v>884</v>
      </c>
      <c r="M33" s="324"/>
      <c r="N33" s="324"/>
      <c r="O33" s="324"/>
      <c r="P33" s="32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27.75" customHeight="1">
      <c r="A34" s="321">
        <v>23.0</v>
      </c>
      <c r="B34" s="321" t="s">
        <v>1239</v>
      </c>
      <c r="C34" s="322" t="str">
        <f t="shared" ref="C34:E34" si="28">#REF!</f>
        <v>#REF!</v>
      </c>
      <c r="D34" s="323" t="str">
        <f t="shared" si="28"/>
        <v>#REF!</v>
      </c>
      <c r="E34" s="323" t="str">
        <f t="shared" si="28"/>
        <v>#REF!</v>
      </c>
      <c r="F34" s="324" t="s">
        <v>884</v>
      </c>
      <c r="G34" s="324" t="s">
        <v>884</v>
      </c>
      <c r="H34" s="324" t="s">
        <v>884</v>
      </c>
      <c r="I34" s="324" t="s">
        <v>884</v>
      </c>
      <c r="J34" s="324" t="s">
        <v>884</v>
      </c>
      <c r="K34" s="324" t="s">
        <v>884</v>
      </c>
      <c r="L34" s="324" t="s">
        <v>884</v>
      </c>
      <c r="M34" s="324"/>
      <c r="N34" s="324"/>
      <c r="O34" s="324"/>
      <c r="P34" s="32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27.75" customHeight="1">
      <c r="A35" s="321">
        <v>24.0</v>
      </c>
      <c r="B35" s="321" t="s">
        <v>1248</v>
      </c>
      <c r="C35" s="322" t="str">
        <f t="shared" ref="C35:E35" si="29">#REF!</f>
        <v>#REF!</v>
      </c>
      <c r="D35" s="323" t="str">
        <f t="shared" si="29"/>
        <v>#REF!</v>
      </c>
      <c r="E35" s="323" t="str">
        <f t="shared" si="29"/>
        <v>#REF!</v>
      </c>
      <c r="F35" s="324" t="s">
        <v>884</v>
      </c>
      <c r="G35" s="324" t="s">
        <v>884</v>
      </c>
      <c r="H35" s="324" t="s">
        <v>884</v>
      </c>
      <c r="I35" s="324" t="s">
        <v>884</v>
      </c>
      <c r="J35" s="324" t="s">
        <v>933</v>
      </c>
      <c r="K35" s="324" t="s">
        <v>884</v>
      </c>
      <c r="L35" s="324" t="s">
        <v>884</v>
      </c>
      <c r="M35" s="324"/>
      <c r="N35" s="324" t="s">
        <v>1251</v>
      </c>
      <c r="O35" s="324"/>
      <c r="P35" s="32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7.75" customHeight="1">
      <c r="A36" s="321">
        <v>25.0</v>
      </c>
      <c r="B36" s="321" t="s">
        <v>1256</v>
      </c>
      <c r="C36" s="322" t="str">
        <f t="shared" ref="C36:E36" si="30">#REF!</f>
        <v>#REF!</v>
      </c>
      <c r="D36" s="323" t="str">
        <f t="shared" si="30"/>
        <v>#REF!</v>
      </c>
      <c r="E36" s="323" t="str">
        <f t="shared" si="30"/>
        <v>#REF!</v>
      </c>
      <c r="F36" s="324" t="s">
        <v>884</v>
      </c>
      <c r="G36" s="324" t="s">
        <v>884</v>
      </c>
      <c r="H36" s="324" t="s">
        <v>884</v>
      </c>
      <c r="I36" s="324" t="s">
        <v>884</v>
      </c>
      <c r="J36" s="324" t="s">
        <v>884</v>
      </c>
      <c r="K36" s="324" t="s">
        <v>884</v>
      </c>
      <c r="L36" s="324" t="s">
        <v>884</v>
      </c>
      <c r="M36" s="324" t="s">
        <v>1263</v>
      </c>
      <c r="N36" s="324"/>
      <c r="O36" s="324"/>
      <c r="P36" s="324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</row>
    <row r="37" ht="27.75" customHeight="1">
      <c r="A37" s="321">
        <v>26.0</v>
      </c>
      <c r="B37" s="321" t="s">
        <v>1268</v>
      </c>
      <c r="C37" s="322" t="str">
        <f t="shared" ref="C37:E37" si="31">#REF!</f>
        <v>#REF!</v>
      </c>
      <c r="D37" s="323" t="str">
        <f t="shared" si="31"/>
        <v>#REF!</v>
      </c>
      <c r="E37" s="323" t="str">
        <f t="shared" si="31"/>
        <v>#REF!</v>
      </c>
      <c r="F37" s="324" t="s">
        <v>884</v>
      </c>
      <c r="G37" s="324" t="s">
        <v>884</v>
      </c>
      <c r="H37" s="324" t="s">
        <v>884</v>
      </c>
      <c r="I37" s="324" t="s">
        <v>884</v>
      </c>
      <c r="J37" s="324" t="s">
        <v>884</v>
      </c>
      <c r="K37" s="324" t="s">
        <v>884</v>
      </c>
      <c r="L37" s="324" t="s">
        <v>884</v>
      </c>
      <c r="M37" s="324"/>
      <c r="N37" s="324"/>
      <c r="O37" s="324"/>
      <c r="P37" s="324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</row>
    <row r="38" ht="27.75" customHeight="1">
      <c r="A38" s="321">
        <v>27.0</v>
      </c>
      <c r="B38" s="321" t="s">
        <v>1278</v>
      </c>
      <c r="C38" s="322" t="str">
        <f t="shared" ref="C38:E38" si="32">#REF!</f>
        <v>#REF!</v>
      </c>
      <c r="D38" s="323" t="str">
        <f t="shared" si="32"/>
        <v>#REF!</v>
      </c>
      <c r="E38" s="323" t="str">
        <f t="shared" si="32"/>
        <v>#REF!</v>
      </c>
      <c r="F38" s="324" t="s">
        <v>884</v>
      </c>
      <c r="G38" s="324" t="s">
        <v>884</v>
      </c>
      <c r="H38" s="324" t="s">
        <v>884</v>
      </c>
      <c r="I38" s="324" t="s">
        <v>884</v>
      </c>
      <c r="J38" s="324" t="s">
        <v>933</v>
      </c>
      <c r="K38" s="324" t="s">
        <v>884</v>
      </c>
      <c r="L38" s="324" t="s">
        <v>884</v>
      </c>
      <c r="M38" s="324"/>
      <c r="N38" s="324" t="s">
        <v>920</v>
      </c>
      <c r="O38" s="324"/>
      <c r="P38" s="324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</row>
    <row r="39" ht="27.75" customHeight="1">
      <c r="A39" s="321">
        <v>28.0</v>
      </c>
      <c r="B39" s="321" t="s">
        <v>29</v>
      </c>
      <c r="C39" s="322" t="str">
        <f t="shared" ref="C39:E39" si="33">#REF!</f>
        <v>#REF!</v>
      </c>
      <c r="D39" s="323" t="str">
        <f t="shared" si="33"/>
        <v>#REF!</v>
      </c>
      <c r="E39" s="323" t="str">
        <f t="shared" si="33"/>
        <v>#REF!</v>
      </c>
      <c r="F39" s="324" t="s">
        <v>884</v>
      </c>
      <c r="G39" s="324" t="s">
        <v>884</v>
      </c>
      <c r="H39" s="324" t="s">
        <v>884</v>
      </c>
      <c r="I39" s="324" t="s">
        <v>884</v>
      </c>
      <c r="J39" s="324" t="s">
        <v>884</v>
      </c>
      <c r="K39" s="324" t="s">
        <v>884</v>
      </c>
      <c r="L39" s="324" t="s">
        <v>884</v>
      </c>
      <c r="M39" s="324"/>
      <c r="N39" s="324"/>
      <c r="O39" s="324"/>
      <c r="P39" s="324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</row>
    <row r="40" ht="27.75" customHeight="1">
      <c r="A40" s="321">
        <v>29.0</v>
      </c>
      <c r="B40" s="321" t="s">
        <v>1293</v>
      </c>
      <c r="C40" s="322" t="str">
        <f t="shared" ref="C40:E40" si="34">#REF!</f>
        <v>#REF!</v>
      </c>
      <c r="D40" s="323" t="str">
        <f t="shared" si="34"/>
        <v>#REF!</v>
      </c>
      <c r="E40" s="323" t="str">
        <f t="shared" si="34"/>
        <v>#REF!</v>
      </c>
      <c r="F40" s="324" t="s">
        <v>884</v>
      </c>
      <c r="G40" s="324" t="s">
        <v>884</v>
      </c>
      <c r="H40" s="324" t="s">
        <v>884</v>
      </c>
      <c r="I40" s="324" t="s">
        <v>884</v>
      </c>
      <c r="J40" s="324" t="s">
        <v>884</v>
      </c>
      <c r="K40" s="324" t="s">
        <v>884</v>
      </c>
      <c r="L40" s="324" t="s">
        <v>884</v>
      </c>
      <c r="M40" s="324" t="s">
        <v>1299</v>
      </c>
      <c r="N40" s="324"/>
      <c r="O40" s="324"/>
      <c r="P40" s="324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</row>
    <row r="41" ht="27.75" customHeight="1">
      <c r="A41" s="321">
        <v>30.0</v>
      </c>
      <c r="B41" s="321" t="s">
        <v>1304</v>
      </c>
      <c r="C41" s="322" t="str">
        <f t="shared" ref="C41:E41" si="35">#REF!</f>
        <v>#REF!</v>
      </c>
      <c r="D41" s="323" t="str">
        <f t="shared" si="35"/>
        <v>#REF!</v>
      </c>
      <c r="E41" s="323" t="str">
        <f t="shared" si="35"/>
        <v>#REF!</v>
      </c>
      <c r="F41" s="324" t="s">
        <v>884</v>
      </c>
      <c r="G41" s="324" t="s">
        <v>884</v>
      </c>
      <c r="H41" s="324" t="s">
        <v>1306</v>
      </c>
      <c r="I41" s="324" t="s">
        <v>884</v>
      </c>
      <c r="J41" s="324" t="s">
        <v>884</v>
      </c>
      <c r="K41" s="324" t="s">
        <v>884</v>
      </c>
      <c r="L41" s="324" t="s">
        <v>884</v>
      </c>
      <c r="M41" s="324"/>
      <c r="N41" s="324"/>
      <c r="O41" s="324"/>
      <c r="P41" s="32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27.75" customHeight="1">
      <c r="A42" s="321">
        <v>31.0</v>
      </c>
      <c r="B42" s="321" t="s">
        <v>1307</v>
      </c>
      <c r="C42" s="322" t="str">
        <f t="shared" ref="C42:E42" si="36">#REF!</f>
        <v>#REF!</v>
      </c>
      <c r="D42" s="323" t="str">
        <f t="shared" si="36"/>
        <v>#REF!</v>
      </c>
      <c r="E42" s="323" t="str">
        <f t="shared" si="36"/>
        <v>#REF!</v>
      </c>
      <c r="F42" s="324" t="s">
        <v>884</v>
      </c>
      <c r="G42" s="324" t="s">
        <v>884</v>
      </c>
      <c r="H42" s="324" t="s">
        <v>884</v>
      </c>
      <c r="I42" s="324" t="s">
        <v>884</v>
      </c>
      <c r="J42" s="324" t="s">
        <v>884</v>
      </c>
      <c r="K42" s="324" t="s">
        <v>884</v>
      </c>
      <c r="L42" s="324" t="s">
        <v>884</v>
      </c>
      <c r="M42" s="324" t="s">
        <v>1070</v>
      </c>
      <c r="N42" s="324"/>
      <c r="O42" s="324"/>
      <c r="P42" s="324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</row>
    <row r="43" ht="27.75" customHeight="1">
      <c r="A43" s="321">
        <v>32.0</v>
      </c>
      <c r="B43" s="321" t="s">
        <v>1308</v>
      </c>
      <c r="C43" s="322" t="str">
        <f t="shared" ref="C43:E43" si="37">#REF!</f>
        <v>#REF!</v>
      </c>
      <c r="D43" s="323" t="str">
        <f t="shared" si="37"/>
        <v>#REF!</v>
      </c>
      <c r="E43" s="323" t="str">
        <f t="shared" si="37"/>
        <v>#REF!</v>
      </c>
      <c r="F43" s="324" t="s">
        <v>884</v>
      </c>
      <c r="G43" s="324" t="s">
        <v>884</v>
      </c>
      <c r="H43" s="324" t="s">
        <v>884</v>
      </c>
      <c r="I43" s="324" t="s">
        <v>884</v>
      </c>
      <c r="J43" s="324" t="s">
        <v>884</v>
      </c>
      <c r="K43" s="324" t="s">
        <v>884</v>
      </c>
      <c r="L43" s="324" t="s">
        <v>884</v>
      </c>
      <c r="M43" s="324"/>
      <c r="N43" s="324"/>
      <c r="O43" s="324"/>
      <c r="P43" s="324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</row>
    <row r="44" ht="27.75" customHeight="1">
      <c r="A44" s="321">
        <v>33.0</v>
      </c>
      <c r="B44" s="321" t="s">
        <v>1309</v>
      </c>
      <c r="C44" s="322" t="str">
        <f t="shared" ref="C44:E44" si="38">#REF!</f>
        <v>#REF!</v>
      </c>
      <c r="D44" s="323" t="str">
        <f t="shared" si="38"/>
        <v>#REF!</v>
      </c>
      <c r="E44" s="323" t="str">
        <f t="shared" si="38"/>
        <v>#REF!</v>
      </c>
      <c r="F44" s="324" t="s">
        <v>884</v>
      </c>
      <c r="G44" s="324" t="s">
        <v>884</v>
      </c>
      <c r="H44" s="324" t="s">
        <v>884</v>
      </c>
      <c r="I44" s="324" t="s">
        <v>884</v>
      </c>
      <c r="J44" s="324" t="s">
        <v>884</v>
      </c>
      <c r="K44" s="324" t="s">
        <v>884</v>
      </c>
      <c r="L44" s="324" t="s">
        <v>884</v>
      </c>
      <c r="M44" s="324"/>
      <c r="N44" s="324"/>
      <c r="O44" s="324"/>
      <c r="P44" s="324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</row>
    <row r="45" ht="27.75" customHeight="1">
      <c r="A45" s="321">
        <v>34.0</v>
      </c>
      <c r="B45" s="321" t="s">
        <v>1310</v>
      </c>
      <c r="C45" s="322" t="str">
        <f t="shared" ref="C45:E45" si="39">#REF!</f>
        <v>#REF!</v>
      </c>
      <c r="D45" s="323" t="str">
        <f t="shared" si="39"/>
        <v>#REF!</v>
      </c>
      <c r="E45" s="323" t="str">
        <f t="shared" si="39"/>
        <v>#REF!</v>
      </c>
      <c r="F45" s="324" t="s">
        <v>884</v>
      </c>
      <c r="G45" s="324" t="s">
        <v>884</v>
      </c>
      <c r="H45" s="324" t="s">
        <v>884</v>
      </c>
      <c r="I45" s="324" t="s">
        <v>884</v>
      </c>
      <c r="J45" s="324" t="s">
        <v>884</v>
      </c>
      <c r="K45" s="324" t="s">
        <v>884</v>
      </c>
      <c r="L45" s="324" t="s">
        <v>884</v>
      </c>
      <c r="M45" s="7"/>
      <c r="N45" s="324" t="s">
        <v>920</v>
      </c>
      <c r="O45" s="7"/>
      <c r="P45" s="7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</row>
    <row r="46" ht="27.75" customHeight="1">
      <c r="A46" s="321">
        <v>35.0</v>
      </c>
      <c r="B46" s="321" t="s">
        <v>1311</v>
      </c>
      <c r="C46" s="322" t="str">
        <f t="shared" ref="C46:E46" si="40">#REF!</f>
        <v>#REF!</v>
      </c>
      <c r="D46" s="323" t="str">
        <f t="shared" si="40"/>
        <v>#REF!</v>
      </c>
      <c r="E46" s="323" t="str">
        <f t="shared" si="40"/>
        <v>#REF!</v>
      </c>
      <c r="F46" s="324" t="s">
        <v>884</v>
      </c>
      <c r="G46" s="324" t="s">
        <v>884</v>
      </c>
      <c r="H46" s="324" t="s">
        <v>884</v>
      </c>
      <c r="I46" s="324" t="s">
        <v>884</v>
      </c>
      <c r="J46" s="324" t="s">
        <v>884</v>
      </c>
      <c r="K46" s="324" t="s">
        <v>884</v>
      </c>
      <c r="L46" s="324" t="s">
        <v>884</v>
      </c>
      <c r="M46" s="7"/>
      <c r="N46" s="324"/>
      <c r="O46" s="7"/>
      <c r="P46" s="7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</row>
    <row r="47" ht="27.75" customHeight="1">
      <c r="A47" s="321">
        <v>36.0</v>
      </c>
      <c r="B47" s="321" t="s">
        <v>1312</v>
      </c>
      <c r="C47" s="322" t="str">
        <f t="shared" ref="C47:E47" si="41">#REF!</f>
        <v>#REF!</v>
      </c>
      <c r="D47" s="323" t="str">
        <f t="shared" si="41"/>
        <v>#REF!</v>
      </c>
      <c r="E47" s="323" t="str">
        <f t="shared" si="41"/>
        <v>#REF!</v>
      </c>
      <c r="F47" s="324" t="s">
        <v>884</v>
      </c>
      <c r="G47" s="324" t="s">
        <v>884</v>
      </c>
      <c r="H47" s="324" t="s">
        <v>884</v>
      </c>
      <c r="I47" s="324" t="s">
        <v>884</v>
      </c>
      <c r="J47" s="324" t="s">
        <v>884</v>
      </c>
      <c r="K47" s="324" t="s">
        <v>884</v>
      </c>
      <c r="L47" s="324" t="s">
        <v>884</v>
      </c>
      <c r="M47" s="7"/>
      <c r="N47" s="324"/>
      <c r="O47" s="7"/>
      <c r="P47" s="7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</row>
    <row r="48" ht="27.75" customHeight="1">
      <c r="A48" s="321">
        <v>37.0</v>
      </c>
      <c r="B48" s="321" t="s">
        <v>1313</v>
      </c>
      <c r="C48" s="322" t="str">
        <f t="shared" ref="C48:E48" si="42">#REF!</f>
        <v>#REF!</v>
      </c>
      <c r="D48" s="323" t="str">
        <f t="shared" si="42"/>
        <v>#REF!</v>
      </c>
      <c r="E48" s="323" t="str">
        <f t="shared" si="42"/>
        <v>#REF!</v>
      </c>
      <c r="F48" s="324" t="s">
        <v>884</v>
      </c>
      <c r="G48" s="324" t="s">
        <v>884</v>
      </c>
      <c r="H48" s="324" t="s">
        <v>884</v>
      </c>
      <c r="I48" s="324" t="s">
        <v>884</v>
      </c>
      <c r="J48" s="324" t="s">
        <v>884</v>
      </c>
      <c r="K48" s="324" t="s">
        <v>884</v>
      </c>
      <c r="L48" s="324" t="s">
        <v>884</v>
      </c>
      <c r="M48" s="324"/>
      <c r="N48" s="324"/>
      <c r="O48" s="324"/>
      <c r="P48" s="324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</row>
    <row r="49" ht="27.75" customHeight="1">
      <c r="A49" s="321">
        <v>38.0</v>
      </c>
      <c r="B49" s="321" t="s">
        <v>1314</v>
      </c>
      <c r="C49" s="322" t="str">
        <f t="shared" ref="C49:E49" si="43">#REF!</f>
        <v>#REF!</v>
      </c>
      <c r="D49" s="323" t="str">
        <f t="shared" si="43"/>
        <v>#REF!</v>
      </c>
      <c r="E49" s="323" t="str">
        <f t="shared" si="43"/>
        <v>#REF!</v>
      </c>
      <c r="F49" s="324" t="s">
        <v>884</v>
      </c>
      <c r="G49" s="324" t="s">
        <v>884</v>
      </c>
      <c r="H49" s="324" t="s">
        <v>884</v>
      </c>
      <c r="I49" s="324" t="s">
        <v>884</v>
      </c>
      <c r="J49" s="324" t="s">
        <v>884</v>
      </c>
      <c r="K49" s="324" t="s">
        <v>884</v>
      </c>
      <c r="L49" s="324" t="s">
        <v>884</v>
      </c>
      <c r="M49" s="324"/>
      <c r="N49" s="324"/>
      <c r="O49" s="324"/>
      <c r="P49" s="324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</row>
    <row r="50" ht="27.75" customHeight="1">
      <c r="A50" s="321">
        <v>39.0</v>
      </c>
      <c r="B50" s="321" t="s">
        <v>1315</v>
      </c>
      <c r="C50" s="322" t="str">
        <f t="shared" ref="C50:E50" si="44">#REF!</f>
        <v>#REF!</v>
      </c>
      <c r="D50" s="323" t="str">
        <f t="shared" si="44"/>
        <v>#REF!</v>
      </c>
      <c r="E50" s="323" t="str">
        <f t="shared" si="44"/>
        <v>#REF!</v>
      </c>
      <c r="F50" s="324" t="s">
        <v>884</v>
      </c>
      <c r="G50" s="324" t="s">
        <v>884</v>
      </c>
      <c r="H50" s="324" t="s">
        <v>884</v>
      </c>
      <c r="I50" s="324" t="s">
        <v>884</v>
      </c>
      <c r="J50" s="324" t="s">
        <v>884</v>
      </c>
      <c r="K50" s="324" t="s">
        <v>884</v>
      </c>
      <c r="L50" s="324" t="s">
        <v>884</v>
      </c>
      <c r="M50" s="324"/>
      <c r="N50" s="324"/>
      <c r="O50" s="324" t="s">
        <v>920</v>
      </c>
      <c r="P50" s="324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27.75" customHeight="1">
      <c r="A51" s="321">
        <v>40.0</v>
      </c>
      <c r="B51" s="321" t="s">
        <v>1316</v>
      </c>
      <c r="C51" s="322" t="str">
        <f t="shared" ref="C51:E51" si="45">#REF!</f>
        <v>#REF!</v>
      </c>
      <c r="D51" s="323" t="str">
        <f t="shared" si="45"/>
        <v>#REF!</v>
      </c>
      <c r="E51" s="323" t="str">
        <f t="shared" si="45"/>
        <v>#REF!</v>
      </c>
      <c r="F51" s="324" t="s">
        <v>884</v>
      </c>
      <c r="G51" s="324" t="s">
        <v>884</v>
      </c>
      <c r="H51" s="324" t="s">
        <v>884</v>
      </c>
      <c r="I51" s="324" t="s">
        <v>884</v>
      </c>
      <c r="J51" s="324" t="s">
        <v>884</v>
      </c>
      <c r="K51" s="324" t="s">
        <v>884</v>
      </c>
      <c r="L51" s="324" t="s">
        <v>884</v>
      </c>
      <c r="M51" s="324"/>
      <c r="N51" s="324"/>
      <c r="O51" s="324"/>
      <c r="P51" s="32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ht="27.75" customHeight="1">
      <c r="A52" s="321">
        <v>41.0</v>
      </c>
      <c r="B52" s="321" t="s">
        <v>1317</v>
      </c>
      <c r="C52" s="322" t="str">
        <f t="shared" ref="C52:E52" si="46">#REF!</f>
        <v>#REF!</v>
      </c>
      <c r="D52" s="323" t="str">
        <f t="shared" si="46"/>
        <v>#REF!</v>
      </c>
      <c r="E52" s="323" t="str">
        <f t="shared" si="46"/>
        <v>#REF!</v>
      </c>
      <c r="F52" s="324" t="s">
        <v>884</v>
      </c>
      <c r="G52" s="324" t="s">
        <v>884</v>
      </c>
      <c r="H52" s="324" t="s">
        <v>884</v>
      </c>
      <c r="I52" s="324" t="s">
        <v>884</v>
      </c>
      <c r="J52" s="324" t="s">
        <v>884</v>
      </c>
      <c r="K52" s="324" t="s">
        <v>884</v>
      </c>
      <c r="L52" s="324" t="s">
        <v>884</v>
      </c>
      <c r="M52" s="324"/>
      <c r="N52" s="324" t="s">
        <v>1318</v>
      </c>
      <c r="O52" s="324" t="s">
        <v>920</v>
      </c>
      <c r="P52" s="32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7.75" customHeight="1">
      <c r="A53" s="321">
        <v>42.0</v>
      </c>
      <c r="B53" s="321" t="s">
        <v>125</v>
      </c>
      <c r="C53" s="322" t="str">
        <f t="shared" ref="C53:E53" si="47">#REF!</f>
        <v>#REF!</v>
      </c>
      <c r="D53" s="323" t="str">
        <f t="shared" si="47"/>
        <v>#REF!</v>
      </c>
      <c r="E53" s="323" t="str">
        <f t="shared" si="47"/>
        <v>#REF!</v>
      </c>
      <c r="F53" s="324" t="s">
        <v>884</v>
      </c>
      <c r="G53" s="324" t="s">
        <v>884</v>
      </c>
      <c r="H53" s="324" t="s">
        <v>884</v>
      </c>
      <c r="I53" s="324" t="s">
        <v>884</v>
      </c>
      <c r="J53" s="324" t="s">
        <v>884</v>
      </c>
      <c r="K53" s="324" t="s">
        <v>884</v>
      </c>
      <c r="L53" s="324" t="s">
        <v>884</v>
      </c>
      <c r="M53" s="324"/>
      <c r="N53" s="324"/>
      <c r="O53" s="324"/>
      <c r="P53" s="324" t="s">
        <v>1319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13.5" customHeight="1">
      <c r="A54" s="321">
        <v>43.0</v>
      </c>
      <c r="B54" s="330" t="s">
        <v>975</v>
      </c>
      <c r="C54" s="27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13.5" customHeight="1">
      <c r="A55" s="332"/>
      <c r="B55" s="330"/>
      <c r="C55" s="27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13.5" customHeight="1">
      <c r="A56" s="318" t="s">
        <v>1320</v>
      </c>
      <c r="B56" s="319"/>
      <c r="C56" s="319"/>
      <c r="D56" s="319"/>
      <c r="E56" s="319"/>
      <c r="F56" s="320"/>
      <c r="G56" s="320"/>
      <c r="H56" s="320"/>
      <c r="I56" s="320"/>
      <c r="J56" s="320"/>
      <c r="K56" s="320"/>
      <c r="L56" s="320"/>
      <c r="M56" s="240"/>
      <c r="N56" s="324"/>
      <c r="O56" s="324"/>
      <c r="P56" s="32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27.75" customHeight="1">
      <c r="A57" s="321">
        <v>1.0</v>
      </c>
      <c r="B57" s="321" t="s">
        <v>723</v>
      </c>
      <c r="C57" s="322" t="str">
        <f t="shared" ref="C57:E57" si="48">#REF!</f>
        <v>#REF!</v>
      </c>
      <c r="D57" s="323" t="str">
        <f t="shared" si="48"/>
        <v>#REF!</v>
      </c>
      <c r="E57" s="323" t="str">
        <f t="shared" si="48"/>
        <v>#REF!</v>
      </c>
      <c r="F57" s="324" t="s">
        <v>884</v>
      </c>
      <c r="G57" s="324" t="s">
        <v>884</v>
      </c>
      <c r="H57" s="324" t="s">
        <v>884</v>
      </c>
      <c r="I57" s="324" t="s">
        <v>884</v>
      </c>
      <c r="J57" s="324" t="s">
        <v>933</v>
      </c>
      <c r="K57" s="324" t="s">
        <v>884</v>
      </c>
      <c r="L57" s="324" t="s">
        <v>884</v>
      </c>
      <c r="M57" s="324"/>
      <c r="N57" s="324" t="s">
        <v>1324</v>
      </c>
      <c r="O57" s="324" t="s">
        <v>1092</v>
      </c>
      <c r="P57" s="324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</row>
    <row r="58" ht="27.75" customHeight="1">
      <c r="A58" s="321">
        <f t="shared" ref="A58:A74" si="50">A57+1</f>
        <v>2</v>
      </c>
      <c r="B58" s="321" t="s">
        <v>453</v>
      </c>
      <c r="C58" s="322" t="str">
        <f t="shared" ref="C58:E58" si="49">#REF!</f>
        <v>#REF!</v>
      </c>
      <c r="D58" s="323" t="str">
        <f t="shared" si="49"/>
        <v>#REF!</v>
      </c>
      <c r="E58" s="323" t="str">
        <f t="shared" si="49"/>
        <v>#REF!</v>
      </c>
      <c r="F58" s="324" t="s">
        <v>881</v>
      </c>
      <c r="G58" s="324" t="s">
        <v>884</v>
      </c>
      <c r="H58" s="324" t="s">
        <v>884</v>
      </c>
      <c r="I58" s="324" t="s">
        <v>884</v>
      </c>
      <c r="J58" s="324" t="s">
        <v>884</v>
      </c>
      <c r="K58" s="324" t="s">
        <v>884</v>
      </c>
      <c r="L58" s="324" t="s">
        <v>884</v>
      </c>
      <c r="M58" s="324"/>
      <c r="N58" s="324"/>
      <c r="O58" s="324"/>
      <c r="P58" s="324" t="s">
        <v>1328</v>
      </c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4"/>
      <c r="AC58" s="7"/>
      <c r="AD58" s="7"/>
      <c r="AE58" s="7"/>
      <c r="AF58" s="7"/>
      <c r="AG58" s="7"/>
      <c r="AH58" s="7"/>
      <c r="AI58" s="7"/>
      <c r="AJ58" s="7"/>
    </row>
    <row r="59" ht="27.75" customHeight="1">
      <c r="A59" s="321">
        <f t="shared" si="50"/>
        <v>3</v>
      </c>
      <c r="B59" s="321" t="s">
        <v>278</v>
      </c>
      <c r="C59" s="322" t="str">
        <f t="shared" ref="C59:E59" si="51">#REF!</f>
        <v>#REF!</v>
      </c>
      <c r="D59" s="323" t="str">
        <f t="shared" si="51"/>
        <v>#REF!</v>
      </c>
      <c r="E59" s="323" t="str">
        <f t="shared" si="51"/>
        <v>#REF!</v>
      </c>
      <c r="F59" s="324" t="s">
        <v>884</v>
      </c>
      <c r="G59" s="324" t="s">
        <v>884</v>
      </c>
      <c r="H59" s="324" t="s">
        <v>884</v>
      </c>
      <c r="I59" s="324" t="s">
        <v>1182</v>
      </c>
      <c r="J59" s="324" t="s">
        <v>884</v>
      </c>
      <c r="K59" s="324" t="s">
        <v>884</v>
      </c>
      <c r="L59" s="324" t="s">
        <v>884</v>
      </c>
      <c r="M59" s="324"/>
      <c r="N59" s="324"/>
      <c r="O59" s="324"/>
      <c r="P59" s="32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27.75" customHeight="1">
      <c r="A60" s="321">
        <f t="shared" si="50"/>
        <v>4</v>
      </c>
      <c r="B60" s="321" t="s">
        <v>59</v>
      </c>
      <c r="C60" s="322" t="str">
        <f t="shared" ref="C60:E60" si="52">#REF!</f>
        <v>#REF!</v>
      </c>
      <c r="D60" s="323" t="str">
        <f t="shared" si="52"/>
        <v>#REF!</v>
      </c>
      <c r="E60" s="323" t="str">
        <f t="shared" si="52"/>
        <v>#REF!</v>
      </c>
      <c r="F60" s="324" t="s">
        <v>884</v>
      </c>
      <c r="G60" s="324" t="s">
        <v>884</v>
      </c>
      <c r="H60" s="324" t="s">
        <v>884</v>
      </c>
      <c r="I60" s="324" t="s">
        <v>884</v>
      </c>
      <c r="J60" s="324" t="s">
        <v>884</v>
      </c>
      <c r="K60" s="324" t="s">
        <v>884</v>
      </c>
      <c r="L60" s="324" t="s">
        <v>884</v>
      </c>
      <c r="M60" s="324"/>
      <c r="N60" s="324"/>
      <c r="O60" s="324"/>
      <c r="P60" s="32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27.75" customHeight="1">
      <c r="A61" s="321">
        <f t="shared" si="50"/>
        <v>5</v>
      </c>
      <c r="B61" s="321" t="s">
        <v>906</v>
      </c>
      <c r="C61" s="322" t="str">
        <f t="shared" ref="C61:E61" si="53">#REF!</f>
        <v>#REF!</v>
      </c>
      <c r="D61" s="323" t="str">
        <f t="shared" si="53"/>
        <v>#REF!</v>
      </c>
      <c r="E61" s="323" t="str">
        <f t="shared" si="53"/>
        <v>#REF!</v>
      </c>
      <c r="F61" s="324" t="s">
        <v>884</v>
      </c>
      <c r="G61" s="324" t="s">
        <v>884</v>
      </c>
      <c r="H61" s="324" t="s">
        <v>884</v>
      </c>
      <c r="I61" s="324" t="s">
        <v>1011</v>
      </c>
      <c r="J61" s="324" t="s">
        <v>884</v>
      </c>
      <c r="K61" s="324" t="s">
        <v>884</v>
      </c>
      <c r="L61" s="324" t="s">
        <v>884</v>
      </c>
      <c r="M61" s="324"/>
      <c r="N61" s="324" t="s">
        <v>1335</v>
      </c>
      <c r="O61" s="324"/>
      <c r="P61" s="32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27.75" customHeight="1">
      <c r="A62" s="321">
        <f t="shared" si="50"/>
        <v>6</v>
      </c>
      <c r="B62" s="321" t="s">
        <v>1338</v>
      </c>
      <c r="C62" s="322" t="str">
        <f t="shared" ref="C62:E62" si="54">#REF!</f>
        <v>#REF!</v>
      </c>
      <c r="D62" s="323" t="str">
        <f t="shared" si="54"/>
        <v>#REF!</v>
      </c>
      <c r="E62" s="323" t="str">
        <f t="shared" si="54"/>
        <v>#REF!</v>
      </c>
      <c r="F62" s="324" t="s">
        <v>884</v>
      </c>
      <c r="G62" s="324" t="s">
        <v>884</v>
      </c>
      <c r="H62" s="324" t="s">
        <v>884</v>
      </c>
      <c r="I62" s="324" t="s">
        <v>884</v>
      </c>
      <c r="J62" s="324" t="s">
        <v>884</v>
      </c>
      <c r="K62" s="324" t="s">
        <v>884</v>
      </c>
      <c r="L62" s="324" t="s">
        <v>884</v>
      </c>
      <c r="M62" s="324"/>
      <c r="N62" s="324"/>
      <c r="O62" s="324"/>
      <c r="P62" s="32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ht="27.75" customHeight="1">
      <c r="A63" s="321">
        <f t="shared" si="50"/>
        <v>7</v>
      </c>
      <c r="B63" s="321" t="s">
        <v>1341</v>
      </c>
      <c r="C63" s="322" t="str">
        <f t="shared" ref="C63:E63" si="55">#REF!</f>
        <v>#REF!</v>
      </c>
      <c r="D63" s="323" t="str">
        <f t="shared" si="55"/>
        <v>#REF!</v>
      </c>
      <c r="E63" s="323" t="str">
        <f t="shared" si="55"/>
        <v>#REF!</v>
      </c>
      <c r="F63" s="324" t="s">
        <v>884</v>
      </c>
      <c r="G63" s="324" t="s">
        <v>942</v>
      </c>
      <c r="H63" s="324" t="s">
        <v>884</v>
      </c>
      <c r="I63" s="324" t="s">
        <v>884</v>
      </c>
      <c r="J63" s="324" t="s">
        <v>884</v>
      </c>
      <c r="K63" s="324" t="s">
        <v>884</v>
      </c>
      <c r="L63" s="324" t="s">
        <v>884</v>
      </c>
      <c r="M63" s="324"/>
      <c r="N63" s="324"/>
      <c r="O63" s="324"/>
      <c r="P63" s="32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ht="27.75" customHeight="1">
      <c r="A64" s="321">
        <f t="shared" si="50"/>
        <v>8</v>
      </c>
      <c r="B64" s="321" t="s">
        <v>1343</v>
      </c>
      <c r="C64" s="322" t="str">
        <f t="shared" ref="C64:E64" si="56">#REF!</f>
        <v>#REF!</v>
      </c>
      <c r="D64" s="323" t="str">
        <f t="shared" si="56"/>
        <v>#REF!</v>
      </c>
      <c r="E64" s="323" t="str">
        <f t="shared" si="56"/>
        <v>#REF!</v>
      </c>
      <c r="F64" s="324" t="s">
        <v>884</v>
      </c>
      <c r="G64" s="324" t="s">
        <v>884</v>
      </c>
      <c r="H64" s="324" t="s">
        <v>884</v>
      </c>
      <c r="I64" s="324" t="s">
        <v>1345</v>
      </c>
      <c r="J64" s="324" t="s">
        <v>933</v>
      </c>
      <c r="K64" s="324" t="s">
        <v>884</v>
      </c>
      <c r="L64" s="324" t="s">
        <v>884</v>
      </c>
      <c r="M64" s="324"/>
      <c r="N64" s="324"/>
      <c r="O64" s="324"/>
      <c r="P64" s="32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ht="27.75" customHeight="1">
      <c r="A65" s="321">
        <f t="shared" si="50"/>
        <v>9</v>
      </c>
      <c r="B65" s="321" t="s">
        <v>1346</v>
      </c>
      <c r="C65" s="322" t="str">
        <f t="shared" ref="C65:E65" si="57">#REF!</f>
        <v>#REF!</v>
      </c>
      <c r="D65" s="323" t="str">
        <f t="shared" si="57"/>
        <v>#REF!</v>
      </c>
      <c r="E65" s="323" t="str">
        <f t="shared" si="57"/>
        <v>#REF!</v>
      </c>
      <c r="F65" s="324" t="s">
        <v>884</v>
      </c>
      <c r="G65" s="324" t="s">
        <v>884</v>
      </c>
      <c r="H65" s="324" t="s">
        <v>884</v>
      </c>
      <c r="I65" s="324" t="s">
        <v>1182</v>
      </c>
      <c r="J65" s="324" t="s">
        <v>933</v>
      </c>
      <c r="K65" s="324" t="s">
        <v>884</v>
      </c>
      <c r="L65" s="324" t="s">
        <v>884</v>
      </c>
      <c r="M65" s="324"/>
      <c r="N65" s="324"/>
      <c r="O65" s="324"/>
      <c r="P65" s="32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ht="27.75" customHeight="1">
      <c r="A66" s="321">
        <f t="shared" si="50"/>
        <v>10</v>
      </c>
      <c r="B66" s="321" t="s">
        <v>1347</v>
      </c>
      <c r="C66" s="322" t="str">
        <f t="shared" ref="C66:E66" si="58">#REF!</f>
        <v>#REF!</v>
      </c>
      <c r="D66" s="323" t="str">
        <f t="shared" si="58"/>
        <v>#REF!</v>
      </c>
      <c r="E66" s="323" t="str">
        <f t="shared" si="58"/>
        <v>#REF!</v>
      </c>
      <c r="F66" s="324" t="s">
        <v>884</v>
      </c>
      <c r="G66" s="324" t="s">
        <v>884</v>
      </c>
      <c r="H66" s="324" t="s">
        <v>884</v>
      </c>
      <c r="I66" s="324" t="s">
        <v>884</v>
      </c>
      <c r="J66" s="324" t="s">
        <v>884</v>
      </c>
      <c r="K66" s="324" t="s">
        <v>884</v>
      </c>
      <c r="L66" s="324" t="s">
        <v>884</v>
      </c>
      <c r="M66" s="324"/>
      <c r="N66" s="324" t="s">
        <v>920</v>
      </c>
      <c r="O66" s="324"/>
      <c r="P66" s="32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27.75" customHeight="1">
      <c r="A67" s="321">
        <f t="shared" si="50"/>
        <v>11</v>
      </c>
      <c r="B67" s="321" t="s">
        <v>1349</v>
      </c>
      <c r="C67" s="322" t="str">
        <f t="shared" ref="C67:E67" si="59">#REF!</f>
        <v>#REF!</v>
      </c>
      <c r="D67" s="323" t="str">
        <f t="shared" si="59"/>
        <v>#REF!</v>
      </c>
      <c r="E67" s="323" t="str">
        <f t="shared" si="59"/>
        <v>#REF!</v>
      </c>
      <c r="F67" s="324" t="s">
        <v>884</v>
      </c>
      <c r="G67" s="324" t="s">
        <v>884</v>
      </c>
      <c r="H67" s="324" t="s">
        <v>884</v>
      </c>
      <c r="I67" s="324" t="s">
        <v>884</v>
      </c>
      <c r="J67" s="324" t="s">
        <v>884</v>
      </c>
      <c r="K67" s="324" t="s">
        <v>884</v>
      </c>
      <c r="L67" s="324" t="s">
        <v>887</v>
      </c>
      <c r="M67" s="324" t="s">
        <v>1350</v>
      </c>
      <c r="N67" s="324"/>
      <c r="O67" s="324"/>
      <c r="P67" s="32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27.75" customHeight="1">
      <c r="A68" s="321">
        <f t="shared" si="50"/>
        <v>12</v>
      </c>
      <c r="B68" s="321" t="s">
        <v>779</v>
      </c>
      <c r="C68" s="322" t="str">
        <f t="shared" ref="C68:E68" si="60">#REF!</f>
        <v>#REF!</v>
      </c>
      <c r="D68" s="323" t="str">
        <f t="shared" si="60"/>
        <v>#REF!</v>
      </c>
      <c r="E68" s="323" t="str">
        <f t="shared" si="60"/>
        <v>#REF!</v>
      </c>
      <c r="F68" s="324" t="s">
        <v>884</v>
      </c>
      <c r="G68" s="324" t="s">
        <v>1155</v>
      </c>
      <c r="H68" s="324" t="s">
        <v>884</v>
      </c>
      <c r="I68" s="324" t="s">
        <v>884</v>
      </c>
      <c r="J68" s="324" t="s">
        <v>884</v>
      </c>
      <c r="K68" s="324" t="s">
        <v>884</v>
      </c>
      <c r="L68" s="324" t="s">
        <v>884</v>
      </c>
      <c r="M68" s="324" t="s">
        <v>1195</v>
      </c>
      <c r="N68" s="324"/>
      <c r="O68" s="324"/>
      <c r="P68" s="32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27.75" customHeight="1">
      <c r="A69" s="321">
        <f t="shared" si="50"/>
        <v>13</v>
      </c>
      <c r="B69" s="321" t="s">
        <v>1353</v>
      </c>
      <c r="C69" s="322" t="str">
        <f t="shared" ref="C69:E69" si="61">#REF!</f>
        <v>#REF!</v>
      </c>
      <c r="D69" s="323" t="str">
        <f t="shared" si="61"/>
        <v>#REF!</v>
      </c>
      <c r="E69" s="323" t="str">
        <f t="shared" si="61"/>
        <v>#REF!</v>
      </c>
      <c r="F69" s="324" t="s">
        <v>884</v>
      </c>
      <c r="G69" s="324" t="s">
        <v>942</v>
      </c>
      <c r="H69" s="324" t="s">
        <v>884</v>
      </c>
      <c r="I69" s="324" t="s">
        <v>884</v>
      </c>
      <c r="J69" s="324" t="s">
        <v>884</v>
      </c>
      <c r="K69" s="324" t="s">
        <v>884</v>
      </c>
      <c r="L69" s="324" t="s">
        <v>884</v>
      </c>
      <c r="M69" s="324"/>
      <c r="N69" s="324" t="s">
        <v>1355</v>
      </c>
      <c r="O69" s="324" t="s">
        <v>1092</v>
      </c>
      <c r="P69" s="32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ht="27.75" customHeight="1">
      <c r="A70" s="321">
        <f t="shared" si="50"/>
        <v>14</v>
      </c>
      <c r="B70" s="321" t="s">
        <v>1357</v>
      </c>
      <c r="C70" s="322" t="str">
        <f t="shared" ref="C70:E70" si="62">#REF!</f>
        <v>#REF!</v>
      </c>
      <c r="D70" s="323" t="str">
        <f t="shared" si="62"/>
        <v>#REF!</v>
      </c>
      <c r="E70" s="323" t="str">
        <f t="shared" si="62"/>
        <v>#REF!</v>
      </c>
      <c r="F70" s="324" t="s">
        <v>884</v>
      </c>
      <c r="G70" s="324" t="s">
        <v>884</v>
      </c>
      <c r="H70" s="324" t="s">
        <v>884</v>
      </c>
      <c r="I70" s="324" t="s">
        <v>884</v>
      </c>
      <c r="J70" s="324" t="s">
        <v>884</v>
      </c>
      <c r="K70" s="324" t="s">
        <v>884</v>
      </c>
      <c r="L70" s="324" t="s">
        <v>884</v>
      </c>
      <c r="M70" s="324"/>
      <c r="N70" s="324"/>
      <c r="O70" s="324"/>
      <c r="P70" s="32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ht="27.75" customHeight="1">
      <c r="A71" s="321">
        <f t="shared" si="50"/>
        <v>15</v>
      </c>
      <c r="B71" s="321" t="s">
        <v>101</v>
      </c>
      <c r="C71" s="322" t="str">
        <f t="shared" ref="C71:E71" si="63">#REF!</f>
        <v>#REF!</v>
      </c>
      <c r="D71" s="323" t="str">
        <f t="shared" si="63"/>
        <v>#REF!</v>
      </c>
      <c r="E71" s="323" t="str">
        <f t="shared" si="63"/>
        <v>#REF!</v>
      </c>
      <c r="F71" s="324" t="s">
        <v>884</v>
      </c>
      <c r="G71" s="324" t="s">
        <v>884</v>
      </c>
      <c r="H71" s="324" t="s">
        <v>884</v>
      </c>
      <c r="I71" s="324" t="s">
        <v>884</v>
      </c>
      <c r="J71" s="324" t="s">
        <v>884</v>
      </c>
      <c r="K71" s="324" t="s">
        <v>884</v>
      </c>
      <c r="L71" s="324" t="s">
        <v>884</v>
      </c>
      <c r="M71" s="324"/>
      <c r="N71" s="324"/>
      <c r="O71" s="324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324"/>
      <c r="AC71" s="7"/>
      <c r="AD71" s="7"/>
      <c r="AE71" s="7"/>
      <c r="AF71" s="7"/>
      <c r="AG71" s="7"/>
      <c r="AH71" s="7"/>
      <c r="AI71" s="7"/>
      <c r="AJ71" s="7"/>
    </row>
    <row r="72" ht="27.75" customHeight="1">
      <c r="A72" s="321">
        <f t="shared" si="50"/>
        <v>16</v>
      </c>
      <c r="B72" s="321" t="s">
        <v>1359</v>
      </c>
      <c r="C72" s="322" t="str">
        <f t="shared" ref="C72:E72" si="64">#REF!</f>
        <v>#REF!</v>
      </c>
      <c r="D72" s="323" t="str">
        <f t="shared" si="64"/>
        <v>#REF!</v>
      </c>
      <c r="E72" s="323" t="str">
        <f t="shared" si="64"/>
        <v>#REF!</v>
      </c>
      <c r="F72" s="324" t="s">
        <v>884</v>
      </c>
      <c r="G72" s="324" t="s">
        <v>884</v>
      </c>
      <c r="H72" s="324" t="s">
        <v>884</v>
      </c>
      <c r="I72" s="324" t="s">
        <v>884</v>
      </c>
      <c r="J72" s="324" t="s">
        <v>884</v>
      </c>
      <c r="K72" s="324" t="s">
        <v>884</v>
      </c>
      <c r="L72" s="324" t="s">
        <v>884</v>
      </c>
      <c r="M72" s="324"/>
      <c r="N72" s="324"/>
      <c r="O72" s="324"/>
      <c r="P72" s="32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27.75" customHeight="1">
      <c r="A73" s="321">
        <f t="shared" si="50"/>
        <v>17</v>
      </c>
      <c r="B73" s="321" t="s">
        <v>955</v>
      </c>
      <c r="C73" s="322" t="str">
        <f t="shared" ref="C73:E73" si="65">#REF!</f>
        <v>#REF!</v>
      </c>
      <c r="D73" s="323" t="str">
        <f t="shared" si="65"/>
        <v>#REF!</v>
      </c>
      <c r="E73" s="323" t="str">
        <f t="shared" si="65"/>
        <v>#REF!</v>
      </c>
      <c r="F73" s="324" t="s">
        <v>884</v>
      </c>
      <c r="G73" s="324" t="s">
        <v>884</v>
      </c>
      <c r="H73" s="324" t="s">
        <v>884</v>
      </c>
      <c r="I73" s="324" t="s">
        <v>884</v>
      </c>
      <c r="J73" s="324" t="s">
        <v>884</v>
      </c>
      <c r="K73" s="324" t="s">
        <v>884</v>
      </c>
      <c r="L73" s="324" t="s">
        <v>884</v>
      </c>
      <c r="M73" s="324"/>
      <c r="N73" s="324"/>
      <c r="O73" s="324"/>
      <c r="P73" s="32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27.75" customHeight="1">
      <c r="A74" s="321">
        <f t="shared" si="50"/>
        <v>18</v>
      </c>
      <c r="B74" s="321" t="s">
        <v>1360</v>
      </c>
      <c r="C74" s="322" t="str">
        <f t="shared" ref="C74:E74" si="66">#REF!</f>
        <v>#REF!</v>
      </c>
      <c r="D74" s="323" t="str">
        <f t="shared" si="66"/>
        <v>#REF!</v>
      </c>
      <c r="E74" s="323" t="str">
        <f t="shared" si="66"/>
        <v>#REF!</v>
      </c>
      <c r="F74" s="324" t="s">
        <v>884</v>
      </c>
      <c r="G74" s="324" t="s">
        <v>884</v>
      </c>
      <c r="H74" s="324" t="s">
        <v>884</v>
      </c>
      <c r="I74" s="324" t="s">
        <v>1362</v>
      </c>
      <c r="J74" s="324" t="s">
        <v>884</v>
      </c>
      <c r="K74" s="324" t="s">
        <v>884</v>
      </c>
      <c r="L74" s="324" t="s">
        <v>884</v>
      </c>
      <c r="M74" s="324" t="s">
        <v>1363</v>
      </c>
      <c r="N74" s="324"/>
      <c r="O74" s="324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13.5" customHeight="1">
      <c r="A75" s="7"/>
      <c r="B75" s="330"/>
      <c r="C75" s="279"/>
      <c r="D75" s="7"/>
      <c r="E75" s="7"/>
      <c r="F75" s="320"/>
      <c r="G75" s="324"/>
      <c r="H75" s="320"/>
      <c r="I75" s="320"/>
      <c r="J75" s="320"/>
      <c r="K75" s="324"/>
      <c r="L75" s="320"/>
      <c r="M75" s="240"/>
      <c r="N75" s="324"/>
      <c r="O75" s="324"/>
      <c r="P75" s="324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13.5" customHeight="1">
      <c r="A76" s="318" t="s">
        <v>1365</v>
      </c>
      <c r="B76" s="319"/>
      <c r="C76" s="319"/>
      <c r="D76" s="319"/>
      <c r="E76" s="319"/>
      <c r="F76" s="320"/>
      <c r="G76" s="324" t="s">
        <v>884</v>
      </c>
      <c r="H76" s="320"/>
      <c r="I76" s="320"/>
      <c r="J76" s="320"/>
      <c r="K76" s="324" t="s">
        <v>884</v>
      </c>
      <c r="L76" s="320"/>
      <c r="M76" s="240"/>
      <c r="N76" s="324"/>
      <c r="O76" s="324"/>
      <c r="P76" s="324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27.75" customHeight="1">
      <c r="A77" s="321">
        <v>1.0</v>
      </c>
      <c r="B77" s="321" t="s">
        <v>431</v>
      </c>
      <c r="C77" s="322" t="str">
        <f t="shared" ref="C77:E77" si="67">#REF!</f>
        <v>#REF!</v>
      </c>
      <c r="D77" s="323" t="str">
        <f t="shared" si="67"/>
        <v>#REF!</v>
      </c>
      <c r="E77" s="323" t="str">
        <f t="shared" si="67"/>
        <v>#REF!</v>
      </c>
      <c r="F77" s="324" t="s">
        <v>884</v>
      </c>
      <c r="G77" s="324" t="s">
        <v>884</v>
      </c>
      <c r="H77" s="324" t="s">
        <v>884</v>
      </c>
      <c r="I77" s="324" t="s">
        <v>1345</v>
      </c>
      <c r="J77" s="324" t="s">
        <v>884</v>
      </c>
      <c r="K77" s="324" t="s">
        <v>884</v>
      </c>
      <c r="L77" s="324" t="s">
        <v>884</v>
      </c>
      <c r="M77" s="324"/>
      <c r="N77" s="324"/>
      <c r="O77" s="324"/>
      <c r="P77" s="324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323"/>
    </row>
    <row r="78" ht="27.75" customHeight="1">
      <c r="A78" s="321">
        <f t="shared" ref="A78:A90" si="69">A77+1</f>
        <v>2</v>
      </c>
      <c r="B78" s="321" t="s">
        <v>109</v>
      </c>
      <c r="C78" s="322" t="str">
        <f t="shared" ref="C78:E78" si="68">#REF!</f>
        <v>#REF!</v>
      </c>
      <c r="D78" s="323" t="str">
        <f t="shared" si="68"/>
        <v>#REF!</v>
      </c>
      <c r="E78" s="323" t="str">
        <f t="shared" si="68"/>
        <v>#REF!</v>
      </c>
      <c r="F78" s="324" t="s">
        <v>884</v>
      </c>
      <c r="G78" s="324" t="s">
        <v>884</v>
      </c>
      <c r="H78" s="324" t="s">
        <v>884</v>
      </c>
      <c r="I78" s="324" t="s">
        <v>1345</v>
      </c>
      <c r="J78" s="324" t="s">
        <v>884</v>
      </c>
      <c r="K78" s="324" t="s">
        <v>884</v>
      </c>
      <c r="L78" s="324" t="s">
        <v>884</v>
      </c>
      <c r="M78" s="324"/>
      <c r="N78" s="324"/>
      <c r="O78" s="324"/>
      <c r="P78" s="324" t="s">
        <v>1370</v>
      </c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</row>
    <row r="79" ht="27.75" customHeight="1">
      <c r="A79" s="321">
        <f t="shared" si="69"/>
        <v>3</v>
      </c>
      <c r="B79" s="321" t="s">
        <v>1371</v>
      </c>
      <c r="C79" s="322" t="str">
        <f t="shared" ref="C79:E79" si="70">#REF!</f>
        <v>#REF!</v>
      </c>
      <c r="D79" s="323" t="str">
        <f t="shared" si="70"/>
        <v>#REF!</v>
      </c>
      <c r="E79" s="323" t="str">
        <f t="shared" si="70"/>
        <v>#REF!</v>
      </c>
      <c r="F79" s="324" t="s">
        <v>884</v>
      </c>
      <c r="G79" s="324" t="s">
        <v>884</v>
      </c>
      <c r="H79" s="324" t="s">
        <v>884</v>
      </c>
      <c r="I79" s="324" t="s">
        <v>884</v>
      </c>
      <c r="J79" s="324" t="s">
        <v>884</v>
      </c>
      <c r="K79" s="324" t="s">
        <v>884</v>
      </c>
      <c r="L79" s="324" t="s">
        <v>884</v>
      </c>
      <c r="M79" s="324"/>
      <c r="N79" s="324"/>
      <c r="O79" s="324"/>
      <c r="P79" s="324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323"/>
    </row>
    <row r="80" ht="27.75" customHeight="1">
      <c r="A80" s="321">
        <f t="shared" si="69"/>
        <v>4</v>
      </c>
      <c r="B80" s="321" t="s">
        <v>407</v>
      </c>
      <c r="C80" s="322" t="str">
        <f t="shared" ref="C80:E80" si="71">#REF!</f>
        <v>#REF!</v>
      </c>
      <c r="D80" s="323" t="str">
        <f t="shared" si="71"/>
        <v>#REF!</v>
      </c>
      <c r="E80" s="323" t="str">
        <f t="shared" si="71"/>
        <v>#REF!</v>
      </c>
      <c r="F80" s="324" t="s">
        <v>884</v>
      </c>
      <c r="G80" s="324" t="s">
        <v>884</v>
      </c>
      <c r="H80" s="324" t="s">
        <v>884</v>
      </c>
      <c r="I80" s="324" t="s">
        <v>884</v>
      </c>
      <c r="J80" s="324" t="s">
        <v>884</v>
      </c>
      <c r="K80" s="324" t="s">
        <v>884</v>
      </c>
      <c r="L80" s="324" t="s">
        <v>884</v>
      </c>
      <c r="M80" s="324" t="s">
        <v>1374</v>
      </c>
      <c r="N80" s="324"/>
      <c r="O80" s="324"/>
      <c r="P80" s="324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</row>
    <row r="81" ht="27.75" customHeight="1">
      <c r="A81" s="321">
        <f t="shared" si="69"/>
        <v>5</v>
      </c>
      <c r="B81" s="321" t="s">
        <v>482</v>
      </c>
      <c r="C81" s="322" t="str">
        <f t="shared" ref="C81:E81" si="72">#REF!</f>
        <v>#REF!</v>
      </c>
      <c r="D81" s="323" t="str">
        <f t="shared" si="72"/>
        <v>#REF!</v>
      </c>
      <c r="E81" s="323" t="str">
        <f t="shared" si="72"/>
        <v>#REF!</v>
      </c>
      <c r="F81" s="324" t="s">
        <v>884</v>
      </c>
      <c r="G81" s="324" t="s">
        <v>884</v>
      </c>
      <c r="H81" s="324" t="s">
        <v>884</v>
      </c>
      <c r="I81" s="324" t="s">
        <v>884</v>
      </c>
      <c r="J81" s="324" t="s">
        <v>884</v>
      </c>
      <c r="K81" s="324" t="s">
        <v>884</v>
      </c>
      <c r="L81" s="324" t="s">
        <v>884</v>
      </c>
      <c r="M81" s="324"/>
      <c r="N81" s="324"/>
      <c r="O81" s="324"/>
      <c r="P81" s="324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323"/>
    </row>
    <row r="82" ht="27.75" customHeight="1">
      <c r="A82" s="321">
        <f t="shared" si="69"/>
        <v>6</v>
      </c>
      <c r="B82" s="321" t="s">
        <v>1376</v>
      </c>
      <c r="C82" s="322" t="str">
        <f t="shared" ref="C82:E82" si="73">#REF!</f>
        <v>#REF!</v>
      </c>
      <c r="D82" s="323" t="str">
        <f t="shared" si="73"/>
        <v>#REF!</v>
      </c>
      <c r="E82" s="323" t="str">
        <f t="shared" si="73"/>
        <v>#REF!</v>
      </c>
      <c r="F82" s="324" t="s">
        <v>884</v>
      </c>
      <c r="G82" s="324" t="s">
        <v>884</v>
      </c>
      <c r="H82" s="324" t="s">
        <v>1306</v>
      </c>
      <c r="I82" s="324" t="s">
        <v>884</v>
      </c>
      <c r="J82" s="324" t="s">
        <v>884</v>
      </c>
      <c r="K82" s="324" t="s">
        <v>884</v>
      </c>
      <c r="L82" s="324" t="s">
        <v>884</v>
      </c>
      <c r="M82" s="324"/>
      <c r="N82" s="324"/>
      <c r="O82" s="324"/>
      <c r="P82" s="324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27.75" customHeight="1">
      <c r="A83" s="321">
        <f t="shared" si="69"/>
        <v>7</v>
      </c>
      <c r="B83" s="321" t="s">
        <v>1378</v>
      </c>
      <c r="C83" s="322" t="str">
        <f t="shared" ref="C83:E83" si="74">#REF!</f>
        <v>#REF!</v>
      </c>
      <c r="D83" s="323" t="str">
        <f t="shared" si="74"/>
        <v>#REF!</v>
      </c>
      <c r="E83" s="323" t="str">
        <f t="shared" si="74"/>
        <v>#REF!</v>
      </c>
      <c r="F83" s="324" t="s">
        <v>884</v>
      </c>
      <c r="G83" s="324" t="s">
        <v>1364</v>
      </c>
      <c r="H83" s="324" t="s">
        <v>884</v>
      </c>
      <c r="I83" s="324" t="s">
        <v>884</v>
      </c>
      <c r="J83" s="324" t="s">
        <v>884</v>
      </c>
      <c r="K83" s="324" t="s">
        <v>884</v>
      </c>
      <c r="L83" s="324" t="s">
        <v>884</v>
      </c>
      <c r="M83" s="324"/>
      <c r="N83" s="324"/>
      <c r="O83" s="324"/>
      <c r="P83" s="324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27.75" customHeight="1">
      <c r="A84" s="321">
        <f t="shared" si="69"/>
        <v>8</v>
      </c>
      <c r="B84" s="321" t="s">
        <v>885</v>
      </c>
      <c r="C84" s="322" t="str">
        <f t="shared" ref="C84:E84" si="75">#REF!</f>
        <v>#REF!</v>
      </c>
      <c r="D84" s="323" t="str">
        <f t="shared" si="75"/>
        <v>#REF!</v>
      </c>
      <c r="E84" s="323" t="str">
        <f t="shared" si="75"/>
        <v>#REF!</v>
      </c>
      <c r="F84" s="324" t="s">
        <v>881</v>
      </c>
      <c r="G84" s="324" t="s">
        <v>1354</v>
      </c>
      <c r="H84" s="324" t="s">
        <v>1102</v>
      </c>
      <c r="I84" s="324" t="s">
        <v>884</v>
      </c>
      <c r="J84" s="324" t="s">
        <v>884</v>
      </c>
      <c r="K84" s="324" t="s">
        <v>884</v>
      </c>
      <c r="L84" s="324" t="s">
        <v>884</v>
      </c>
      <c r="M84" s="324"/>
      <c r="N84" s="324"/>
      <c r="O84" s="324"/>
      <c r="P84" s="324" t="s">
        <v>1379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27.75" customHeight="1">
      <c r="A85" s="321">
        <f t="shared" si="69"/>
        <v>9</v>
      </c>
      <c r="B85" s="321" t="s">
        <v>443</v>
      </c>
      <c r="C85" s="322" t="str">
        <f t="shared" ref="C85:E85" si="76">#REF!</f>
        <v>#REF!</v>
      </c>
      <c r="D85" s="323" t="str">
        <f t="shared" si="76"/>
        <v>#REF!</v>
      </c>
      <c r="E85" s="323" t="str">
        <f t="shared" si="76"/>
        <v>#REF!</v>
      </c>
      <c r="F85" s="324" t="s">
        <v>884</v>
      </c>
      <c r="G85" s="324" t="s">
        <v>884</v>
      </c>
      <c r="H85" s="324" t="s">
        <v>1102</v>
      </c>
      <c r="I85" s="324" t="s">
        <v>884</v>
      </c>
      <c r="J85" s="324" t="s">
        <v>884</v>
      </c>
      <c r="K85" s="324" t="s">
        <v>884</v>
      </c>
      <c r="L85" s="324" t="s">
        <v>884</v>
      </c>
      <c r="M85" s="324"/>
      <c r="N85" s="324"/>
      <c r="O85" s="324"/>
      <c r="P85" s="324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ht="27.75" customHeight="1">
      <c r="A86" s="321">
        <f t="shared" si="69"/>
        <v>10</v>
      </c>
      <c r="B86" s="321" t="s">
        <v>159</v>
      </c>
      <c r="C86" s="322" t="str">
        <f t="shared" ref="C86:E86" si="77">#REF!</f>
        <v>#REF!</v>
      </c>
      <c r="D86" s="323" t="str">
        <f t="shared" si="77"/>
        <v>#REF!</v>
      </c>
      <c r="E86" s="323" t="str">
        <f t="shared" si="77"/>
        <v>#REF!</v>
      </c>
      <c r="F86" s="324" t="s">
        <v>884</v>
      </c>
      <c r="G86" s="324" t="s">
        <v>884</v>
      </c>
      <c r="H86" s="324" t="s">
        <v>884</v>
      </c>
      <c r="I86" s="324" t="s">
        <v>884</v>
      </c>
      <c r="J86" s="324" t="s">
        <v>884</v>
      </c>
      <c r="K86" s="324" t="s">
        <v>884</v>
      </c>
      <c r="L86" s="324" t="s">
        <v>884</v>
      </c>
      <c r="M86" s="324"/>
      <c r="N86" s="324"/>
      <c r="O86" s="324"/>
      <c r="P86" s="324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ht="27.75" customHeight="1">
      <c r="A87" s="321">
        <f t="shared" si="69"/>
        <v>11</v>
      </c>
      <c r="B87" s="321" t="s">
        <v>788</v>
      </c>
      <c r="C87" s="322" t="str">
        <f t="shared" ref="C87:E87" si="78">#REF!</f>
        <v>#REF!</v>
      </c>
      <c r="D87" s="323" t="str">
        <f t="shared" si="78"/>
        <v>#REF!</v>
      </c>
      <c r="E87" s="323" t="str">
        <f t="shared" si="78"/>
        <v>#REF!</v>
      </c>
      <c r="F87" s="324" t="s">
        <v>884</v>
      </c>
      <c r="G87" s="324" t="s">
        <v>884</v>
      </c>
      <c r="H87" s="324" t="s">
        <v>884</v>
      </c>
      <c r="I87" s="324" t="s">
        <v>884</v>
      </c>
      <c r="J87" s="324" t="s">
        <v>884</v>
      </c>
      <c r="K87" s="324" t="s">
        <v>884</v>
      </c>
      <c r="L87" s="324" t="s">
        <v>884</v>
      </c>
      <c r="M87" s="324"/>
      <c r="N87" s="324" t="s">
        <v>1380</v>
      </c>
      <c r="O87" s="324"/>
      <c r="P87" s="324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ht="27.75" customHeight="1">
      <c r="A88" s="321">
        <f t="shared" si="69"/>
        <v>12</v>
      </c>
      <c r="B88" s="321" t="s">
        <v>784</v>
      </c>
      <c r="C88" s="322" t="str">
        <f t="shared" ref="C88:E88" si="79">#REF!</f>
        <v>#REF!</v>
      </c>
      <c r="D88" s="323" t="str">
        <f t="shared" si="79"/>
        <v>#REF!</v>
      </c>
      <c r="E88" s="323" t="str">
        <f t="shared" si="79"/>
        <v>#REF!</v>
      </c>
      <c r="F88" s="324" t="s">
        <v>884</v>
      </c>
      <c r="G88" s="324" t="s">
        <v>884</v>
      </c>
      <c r="H88" s="324" t="s">
        <v>884</v>
      </c>
      <c r="I88" s="324" t="s">
        <v>884</v>
      </c>
      <c r="J88" s="324" t="s">
        <v>884</v>
      </c>
      <c r="K88" s="324" t="s">
        <v>884</v>
      </c>
      <c r="L88" s="324" t="s">
        <v>884</v>
      </c>
      <c r="M88" s="324"/>
      <c r="N88" s="324"/>
      <c r="O88" s="324"/>
      <c r="P88" s="324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27.75" customHeight="1">
      <c r="A89" s="321">
        <f t="shared" si="69"/>
        <v>13</v>
      </c>
      <c r="B89" s="321" t="s">
        <v>1381</v>
      </c>
      <c r="C89" s="322" t="str">
        <f t="shared" ref="C89:E89" si="80">#REF!</f>
        <v>#REF!</v>
      </c>
      <c r="D89" s="323" t="str">
        <f t="shared" si="80"/>
        <v>#REF!</v>
      </c>
      <c r="E89" s="323" t="str">
        <f t="shared" si="80"/>
        <v>#REF!</v>
      </c>
      <c r="F89" s="324" t="s">
        <v>884</v>
      </c>
      <c r="G89" s="324" t="s">
        <v>884</v>
      </c>
      <c r="H89" s="324" t="s">
        <v>884</v>
      </c>
      <c r="I89" s="324" t="s">
        <v>884</v>
      </c>
      <c r="J89" s="324" t="s">
        <v>884</v>
      </c>
      <c r="K89" s="324" t="s">
        <v>884</v>
      </c>
      <c r="L89" s="324" t="s">
        <v>884</v>
      </c>
      <c r="M89" s="324"/>
      <c r="N89" s="324" t="s">
        <v>920</v>
      </c>
      <c r="O89" s="324"/>
      <c r="P89" s="324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27.75" customHeight="1">
      <c r="A90" s="321">
        <f t="shared" si="69"/>
        <v>14</v>
      </c>
      <c r="B90" s="321" t="s">
        <v>427</v>
      </c>
      <c r="C90" s="322" t="str">
        <f t="shared" ref="C90:E90" si="81">#REF!</f>
        <v>#REF!</v>
      </c>
      <c r="D90" s="323" t="str">
        <f t="shared" si="81"/>
        <v>#REF!</v>
      </c>
      <c r="E90" s="323" t="str">
        <f t="shared" si="81"/>
        <v>#REF!</v>
      </c>
      <c r="F90" s="324" t="s">
        <v>884</v>
      </c>
      <c r="G90" s="324" t="s">
        <v>884</v>
      </c>
      <c r="H90" s="324" t="s">
        <v>884</v>
      </c>
      <c r="I90" s="324" t="s">
        <v>884</v>
      </c>
      <c r="J90" s="324" t="s">
        <v>884</v>
      </c>
      <c r="K90" s="324" t="s">
        <v>884</v>
      </c>
      <c r="L90" s="324" t="s">
        <v>884</v>
      </c>
      <c r="M90" s="324"/>
      <c r="N90" s="324" t="s">
        <v>1092</v>
      </c>
      <c r="O90" s="324" t="s">
        <v>1092</v>
      </c>
      <c r="P90" s="324" t="s">
        <v>1382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13.5" customHeight="1">
      <c r="A91" s="7"/>
      <c r="B91" s="339"/>
      <c r="C91" s="279"/>
      <c r="D91" s="7"/>
      <c r="E91" s="7"/>
      <c r="F91" s="320"/>
      <c r="G91" s="320"/>
      <c r="H91" s="320"/>
      <c r="I91" s="320"/>
      <c r="J91" s="320"/>
      <c r="K91" s="324" t="s">
        <v>884</v>
      </c>
      <c r="L91" s="320"/>
      <c r="M91" s="240"/>
      <c r="N91" s="324"/>
      <c r="O91" s="324"/>
      <c r="P91" s="324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13.5" customHeight="1">
      <c r="A92" s="318" t="s">
        <v>1383</v>
      </c>
      <c r="B92" s="319"/>
      <c r="C92" s="319"/>
      <c r="D92" s="319"/>
      <c r="E92" s="319"/>
      <c r="F92" s="320"/>
      <c r="G92" s="320"/>
      <c r="H92" s="320"/>
      <c r="I92" s="320"/>
      <c r="J92" s="320"/>
      <c r="K92" s="324" t="s">
        <v>884</v>
      </c>
      <c r="L92" s="320"/>
      <c r="M92" s="240"/>
      <c r="N92" s="324"/>
      <c r="O92" s="324"/>
      <c r="P92" s="324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27.75" customHeight="1">
      <c r="A93" s="321">
        <v>1.0</v>
      </c>
      <c r="B93" s="321" t="s">
        <v>467</v>
      </c>
      <c r="C93" s="322" t="str">
        <f t="shared" ref="C93:E93" si="82">#REF!</f>
        <v>#REF!</v>
      </c>
      <c r="D93" s="323" t="str">
        <f t="shared" si="82"/>
        <v>#REF!</v>
      </c>
      <c r="E93" s="323" t="str">
        <f t="shared" si="82"/>
        <v>#REF!</v>
      </c>
      <c r="F93" s="324" t="s">
        <v>884</v>
      </c>
      <c r="G93" s="324" t="s">
        <v>884</v>
      </c>
      <c r="H93" s="324" t="s">
        <v>1057</v>
      </c>
      <c r="I93" s="324" t="s">
        <v>1384</v>
      </c>
      <c r="J93" s="324" t="s">
        <v>884</v>
      </c>
      <c r="K93" s="324" t="s">
        <v>884</v>
      </c>
      <c r="L93" s="324" t="s">
        <v>1385</v>
      </c>
      <c r="M93" s="324" t="s">
        <v>1386</v>
      </c>
      <c r="N93" s="324"/>
      <c r="O93" s="324"/>
      <c r="P93" s="324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</row>
    <row r="94" ht="27.75" customHeight="1">
      <c r="A94" s="321">
        <f t="shared" ref="A94:A113" si="84">A93+1</f>
        <v>2</v>
      </c>
      <c r="B94" s="321" t="s">
        <v>618</v>
      </c>
      <c r="C94" s="322" t="str">
        <f t="shared" ref="C94:E94" si="83">#REF!</f>
        <v>#REF!</v>
      </c>
      <c r="D94" s="323" t="str">
        <f t="shared" si="83"/>
        <v>#REF!</v>
      </c>
      <c r="E94" s="323" t="str">
        <f t="shared" si="83"/>
        <v>#REF!</v>
      </c>
      <c r="F94" s="324" t="s">
        <v>884</v>
      </c>
      <c r="G94" s="324" t="s">
        <v>884</v>
      </c>
      <c r="H94" s="324" t="s">
        <v>884</v>
      </c>
      <c r="I94" s="324" t="s">
        <v>884</v>
      </c>
      <c r="J94" s="324" t="s">
        <v>884</v>
      </c>
      <c r="K94" s="324" t="s">
        <v>884</v>
      </c>
      <c r="L94" s="324" t="s">
        <v>884</v>
      </c>
      <c r="M94" s="324"/>
      <c r="N94" s="324" t="s">
        <v>920</v>
      </c>
      <c r="O94" s="324"/>
      <c r="P94" s="324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323"/>
    </row>
    <row r="95" ht="27.75" customHeight="1">
      <c r="A95" s="321">
        <f t="shared" si="84"/>
        <v>3</v>
      </c>
      <c r="B95" s="321" t="s">
        <v>799</v>
      </c>
      <c r="C95" s="322" t="str">
        <f t="shared" ref="C95:E95" si="85">#REF!</f>
        <v>#REF!</v>
      </c>
      <c r="D95" s="323" t="str">
        <f t="shared" si="85"/>
        <v>#REF!</v>
      </c>
      <c r="E95" s="323" t="str">
        <f t="shared" si="85"/>
        <v>#REF!</v>
      </c>
      <c r="F95" s="324" t="s">
        <v>884</v>
      </c>
      <c r="G95" s="324" t="s">
        <v>884</v>
      </c>
      <c r="H95" s="324" t="s">
        <v>884</v>
      </c>
      <c r="I95" s="324" t="s">
        <v>884</v>
      </c>
      <c r="J95" s="324" t="s">
        <v>933</v>
      </c>
      <c r="K95" s="324" t="s">
        <v>884</v>
      </c>
      <c r="L95" s="324" t="s">
        <v>884</v>
      </c>
      <c r="M95" s="324"/>
      <c r="N95" s="324"/>
      <c r="O95" s="324" t="s">
        <v>1335</v>
      </c>
      <c r="P95" s="324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</row>
    <row r="96" ht="27.75" customHeight="1">
      <c r="A96" s="321">
        <f t="shared" si="84"/>
        <v>4</v>
      </c>
      <c r="B96" s="321" t="s">
        <v>619</v>
      </c>
      <c r="C96" s="322" t="str">
        <f t="shared" ref="C96:E96" si="86">#REF!</f>
        <v>#REF!</v>
      </c>
      <c r="D96" s="323" t="str">
        <f t="shared" si="86"/>
        <v>#REF!</v>
      </c>
      <c r="E96" s="323" t="str">
        <f t="shared" si="86"/>
        <v>#REF!</v>
      </c>
      <c r="F96" s="324" t="s">
        <v>1339</v>
      </c>
      <c r="G96" s="324" t="s">
        <v>1354</v>
      </c>
      <c r="H96" s="324" t="s">
        <v>884</v>
      </c>
      <c r="I96" s="324" t="s">
        <v>884</v>
      </c>
      <c r="J96" s="324" t="s">
        <v>884</v>
      </c>
      <c r="K96" s="324" t="s">
        <v>884</v>
      </c>
      <c r="L96" s="324" t="s">
        <v>884</v>
      </c>
      <c r="M96" s="324"/>
      <c r="N96" s="324" t="s">
        <v>1387</v>
      </c>
      <c r="O96" s="324"/>
      <c r="P96" s="324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</row>
    <row r="97" ht="27.75" customHeight="1">
      <c r="A97" s="321">
        <f t="shared" si="84"/>
        <v>5</v>
      </c>
      <c r="B97" s="321" t="s">
        <v>1388</v>
      </c>
      <c r="C97" s="322" t="str">
        <f t="shared" ref="C97:E97" si="87">#REF!</f>
        <v>#REF!</v>
      </c>
      <c r="D97" s="323" t="str">
        <f t="shared" si="87"/>
        <v>#REF!</v>
      </c>
      <c r="E97" s="323" t="str">
        <f t="shared" si="87"/>
        <v>#REF!</v>
      </c>
      <c r="F97" s="324" t="s">
        <v>884</v>
      </c>
      <c r="G97" s="324" t="s">
        <v>884</v>
      </c>
      <c r="H97" s="324" t="s">
        <v>884</v>
      </c>
      <c r="I97" s="324" t="s">
        <v>884</v>
      </c>
      <c r="J97" s="324" t="s">
        <v>884</v>
      </c>
      <c r="K97" s="324" t="s">
        <v>884</v>
      </c>
      <c r="L97" s="324" t="s">
        <v>884</v>
      </c>
      <c r="M97" s="324"/>
      <c r="N97" s="324" t="s">
        <v>1318</v>
      </c>
      <c r="O97" s="324"/>
      <c r="P97" s="324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27.75" customHeight="1">
      <c r="A98" s="321">
        <f t="shared" si="84"/>
        <v>6</v>
      </c>
      <c r="B98" s="321" t="s">
        <v>494</v>
      </c>
      <c r="C98" s="322" t="str">
        <f t="shared" ref="C98:E98" si="88">#REF!</f>
        <v>#REF!</v>
      </c>
      <c r="D98" s="323" t="str">
        <f t="shared" si="88"/>
        <v>#REF!</v>
      </c>
      <c r="E98" s="323" t="str">
        <f t="shared" si="88"/>
        <v>#REF!</v>
      </c>
      <c r="F98" s="324" t="s">
        <v>884</v>
      </c>
      <c r="G98" s="324" t="s">
        <v>884</v>
      </c>
      <c r="H98" s="324" t="s">
        <v>884</v>
      </c>
      <c r="I98" s="324" t="s">
        <v>1362</v>
      </c>
      <c r="J98" s="324" t="s">
        <v>884</v>
      </c>
      <c r="K98" s="324" t="s">
        <v>884</v>
      </c>
      <c r="L98" s="324" t="s">
        <v>884</v>
      </c>
      <c r="M98" s="324" t="s">
        <v>1389</v>
      </c>
      <c r="N98" s="324" t="s">
        <v>920</v>
      </c>
      <c r="O98" s="324"/>
      <c r="P98" s="324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ht="13.5" customHeight="1">
      <c r="A99" s="321">
        <f t="shared" si="84"/>
        <v>7</v>
      </c>
      <c r="B99" s="321" t="s">
        <v>617</v>
      </c>
      <c r="C99" s="322" t="str">
        <f t="shared" ref="C99:E99" si="89">#REF!</f>
        <v>#REF!</v>
      </c>
      <c r="D99" s="323" t="str">
        <f t="shared" si="89"/>
        <v>#REF!</v>
      </c>
      <c r="E99" s="323" t="str">
        <f t="shared" si="89"/>
        <v>#REF!</v>
      </c>
      <c r="F99" s="324" t="s">
        <v>884</v>
      </c>
      <c r="G99" s="324" t="s">
        <v>884</v>
      </c>
      <c r="H99" s="324" t="s">
        <v>884</v>
      </c>
      <c r="I99" s="324" t="s">
        <v>884</v>
      </c>
      <c r="J99" s="324" t="s">
        <v>884</v>
      </c>
      <c r="K99" s="324" t="s">
        <v>884</v>
      </c>
      <c r="L99" s="324" t="s">
        <v>884</v>
      </c>
      <c r="M99" s="324" t="s">
        <v>1374</v>
      </c>
      <c r="N99" s="324"/>
      <c r="O99" s="324" t="s">
        <v>920</v>
      </c>
      <c r="P99" s="324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27.75" customHeight="1">
      <c r="A100" s="321">
        <f t="shared" si="84"/>
        <v>8</v>
      </c>
      <c r="B100" s="321" t="s">
        <v>45</v>
      </c>
      <c r="C100" s="322" t="str">
        <f t="shared" ref="C100:E100" si="90">#REF!</f>
        <v>#REF!</v>
      </c>
      <c r="D100" s="323" t="str">
        <f t="shared" si="90"/>
        <v>#REF!</v>
      </c>
      <c r="E100" s="323" t="str">
        <f t="shared" si="90"/>
        <v>#REF!</v>
      </c>
      <c r="F100" s="324" t="s">
        <v>884</v>
      </c>
      <c r="G100" s="324" t="s">
        <v>884</v>
      </c>
      <c r="H100" s="324" t="s">
        <v>884</v>
      </c>
      <c r="I100" s="324" t="s">
        <v>884</v>
      </c>
      <c r="J100" s="324" t="s">
        <v>884</v>
      </c>
      <c r="K100" s="324" t="s">
        <v>884</v>
      </c>
      <c r="L100" s="324" t="s">
        <v>884</v>
      </c>
      <c r="M100" s="324"/>
      <c r="N100" s="324"/>
      <c r="O100" s="324" t="s">
        <v>920</v>
      </c>
      <c r="P100" s="324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27.75" customHeight="1">
      <c r="A101" s="321">
        <f t="shared" si="84"/>
        <v>9</v>
      </c>
      <c r="B101" s="321" t="s">
        <v>1390</v>
      </c>
      <c r="C101" s="322" t="str">
        <f t="shared" ref="C101:E101" si="91">#REF!</f>
        <v>#REF!</v>
      </c>
      <c r="D101" s="323" t="str">
        <f t="shared" si="91"/>
        <v>#REF!</v>
      </c>
      <c r="E101" s="323" t="str">
        <f t="shared" si="91"/>
        <v>#REF!</v>
      </c>
      <c r="F101" s="324" t="s">
        <v>884</v>
      </c>
      <c r="G101" s="324" t="s">
        <v>884</v>
      </c>
      <c r="H101" s="324" t="s">
        <v>884</v>
      </c>
      <c r="I101" s="324" t="s">
        <v>1362</v>
      </c>
      <c r="J101" s="324" t="s">
        <v>884</v>
      </c>
      <c r="K101" s="324" t="s">
        <v>1392</v>
      </c>
      <c r="L101" s="324" t="s">
        <v>884</v>
      </c>
      <c r="M101" s="324"/>
      <c r="N101" s="324"/>
      <c r="O101" s="324" t="s">
        <v>920</v>
      </c>
      <c r="P101" s="324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27.75" customHeight="1">
      <c r="A102" s="321">
        <f t="shared" si="84"/>
        <v>10</v>
      </c>
      <c r="B102" s="321" t="s">
        <v>1393</v>
      </c>
      <c r="C102" s="322" t="str">
        <f t="shared" ref="C102:E102" si="92">#REF!</f>
        <v>#REF!</v>
      </c>
      <c r="D102" s="323" t="str">
        <f t="shared" si="92"/>
        <v>#REF!</v>
      </c>
      <c r="E102" s="323" t="str">
        <f t="shared" si="92"/>
        <v>#REF!</v>
      </c>
      <c r="F102" s="324" t="s">
        <v>884</v>
      </c>
      <c r="G102" s="324" t="s">
        <v>884</v>
      </c>
      <c r="H102" s="324" t="s">
        <v>1306</v>
      </c>
      <c r="I102" s="324" t="s">
        <v>884</v>
      </c>
      <c r="J102" s="324" t="s">
        <v>884</v>
      </c>
      <c r="K102" s="324" t="s">
        <v>884</v>
      </c>
      <c r="L102" s="324" t="s">
        <v>884</v>
      </c>
      <c r="M102" s="323"/>
      <c r="N102" s="324"/>
      <c r="O102" s="324"/>
      <c r="P102" s="324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27.75" customHeight="1">
      <c r="A103" s="321">
        <f t="shared" si="84"/>
        <v>11</v>
      </c>
      <c r="B103" s="321" t="s">
        <v>1394</v>
      </c>
      <c r="C103" s="322" t="str">
        <f t="shared" ref="C103:E103" si="93">#REF!</f>
        <v>#REF!</v>
      </c>
      <c r="D103" s="323" t="str">
        <f t="shared" si="93"/>
        <v>#REF!</v>
      </c>
      <c r="E103" s="323" t="str">
        <f t="shared" si="93"/>
        <v>#REF!</v>
      </c>
      <c r="F103" s="324" t="s">
        <v>884</v>
      </c>
      <c r="G103" s="324" t="s">
        <v>884</v>
      </c>
      <c r="H103" s="324" t="s">
        <v>1306</v>
      </c>
      <c r="I103" s="324" t="s">
        <v>1362</v>
      </c>
      <c r="J103" s="324" t="s">
        <v>884</v>
      </c>
      <c r="K103" s="324" t="s">
        <v>884</v>
      </c>
      <c r="L103" s="324" t="s">
        <v>884</v>
      </c>
      <c r="M103" s="324"/>
      <c r="N103" s="324"/>
      <c r="O103" s="324"/>
      <c r="P103" s="324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27.75" customHeight="1">
      <c r="A104" s="321">
        <f t="shared" si="84"/>
        <v>12</v>
      </c>
      <c r="B104" s="321" t="s">
        <v>380</v>
      </c>
      <c r="C104" s="322" t="str">
        <f t="shared" ref="C104:E104" si="94">#REF!</f>
        <v>#REF!</v>
      </c>
      <c r="D104" s="323" t="str">
        <f t="shared" si="94"/>
        <v>#REF!</v>
      </c>
      <c r="E104" s="323" t="str">
        <f t="shared" si="94"/>
        <v>#REF!</v>
      </c>
      <c r="F104" s="324" t="s">
        <v>881</v>
      </c>
      <c r="G104" s="324" t="s">
        <v>883</v>
      </c>
      <c r="H104" s="324" t="s">
        <v>1102</v>
      </c>
      <c r="I104" s="324" t="s">
        <v>1345</v>
      </c>
      <c r="J104" s="324" t="s">
        <v>884</v>
      </c>
      <c r="K104" s="324" t="s">
        <v>884</v>
      </c>
      <c r="L104" s="324" t="s">
        <v>884</v>
      </c>
      <c r="M104" s="324"/>
      <c r="N104" s="324"/>
      <c r="O104" s="324"/>
      <c r="P104" s="324" t="s">
        <v>1395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27.75" customHeight="1">
      <c r="A105" s="321">
        <f t="shared" si="84"/>
        <v>13</v>
      </c>
      <c r="B105" s="321" t="s">
        <v>1396</v>
      </c>
      <c r="C105" s="322" t="str">
        <f t="shared" ref="C105:E105" si="95">#REF!</f>
        <v>#REF!</v>
      </c>
      <c r="D105" s="323" t="str">
        <f t="shared" si="95"/>
        <v>#REF!</v>
      </c>
      <c r="E105" s="323" t="str">
        <f t="shared" si="95"/>
        <v>#REF!</v>
      </c>
      <c r="F105" s="324" t="s">
        <v>1327</v>
      </c>
      <c r="G105" s="324" t="s">
        <v>884</v>
      </c>
      <c r="H105" s="324" t="s">
        <v>884</v>
      </c>
      <c r="I105" s="324" t="s">
        <v>884</v>
      </c>
      <c r="J105" s="324"/>
      <c r="K105" s="324" t="s">
        <v>884</v>
      </c>
      <c r="L105" s="324" t="s">
        <v>884</v>
      </c>
      <c r="M105" s="324"/>
      <c r="N105" s="324"/>
      <c r="O105" s="324"/>
      <c r="P105" s="324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27.75" customHeight="1">
      <c r="A106" s="321">
        <f t="shared" si="84"/>
        <v>14</v>
      </c>
      <c r="B106" s="321" t="s">
        <v>1397</v>
      </c>
      <c r="C106" s="322" t="str">
        <f t="shared" ref="C106:E106" si="96">#REF!</f>
        <v>#REF!</v>
      </c>
      <c r="D106" s="323" t="str">
        <f t="shared" si="96"/>
        <v>#REF!</v>
      </c>
      <c r="E106" s="323" t="str">
        <f t="shared" si="96"/>
        <v>#REF!</v>
      </c>
      <c r="F106" s="324" t="s">
        <v>884</v>
      </c>
      <c r="G106" s="324" t="s">
        <v>884</v>
      </c>
      <c r="H106" s="324" t="s">
        <v>884</v>
      </c>
      <c r="I106" s="324" t="s">
        <v>884</v>
      </c>
      <c r="J106" s="324" t="s">
        <v>884</v>
      </c>
      <c r="K106" s="324" t="s">
        <v>884</v>
      </c>
      <c r="L106" s="324" t="s">
        <v>1398</v>
      </c>
      <c r="M106" s="324"/>
      <c r="N106" s="324"/>
      <c r="O106" s="324"/>
      <c r="P106" s="324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27.75" customHeight="1">
      <c r="A107" s="321">
        <f t="shared" si="84"/>
        <v>15</v>
      </c>
      <c r="B107" s="321" t="s">
        <v>507</v>
      </c>
      <c r="C107" s="322" t="str">
        <f t="shared" ref="C107:E107" si="97">#REF!</f>
        <v>#REF!</v>
      </c>
      <c r="D107" s="323" t="str">
        <f t="shared" si="97"/>
        <v>#REF!</v>
      </c>
      <c r="E107" s="323" t="str">
        <f t="shared" si="97"/>
        <v>#REF!</v>
      </c>
      <c r="F107" s="324" t="s">
        <v>884</v>
      </c>
      <c r="G107" s="324" t="s">
        <v>884</v>
      </c>
      <c r="H107" s="324" t="s">
        <v>1306</v>
      </c>
      <c r="I107" s="324" t="s">
        <v>884</v>
      </c>
      <c r="J107" s="324" t="s">
        <v>933</v>
      </c>
      <c r="K107" s="324" t="s">
        <v>884</v>
      </c>
      <c r="L107" s="324" t="s">
        <v>1398</v>
      </c>
      <c r="M107" s="324" t="s">
        <v>1399</v>
      </c>
      <c r="N107" s="324"/>
      <c r="O107" s="324" t="s">
        <v>1092</v>
      </c>
      <c r="P107" s="324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27.75" customHeight="1">
      <c r="A108" s="321">
        <f t="shared" si="84"/>
        <v>16</v>
      </c>
      <c r="B108" s="321" t="s">
        <v>1400</v>
      </c>
      <c r="C108" s="322" t="str">
        <f t="shared" ref="C108:E108" si="98">#REF!</f>
        <v>#REF!</v>
      </c>
      <c r="D108" s="323" t="str">
        <f t="shared" si="98"/>
        <v>#REF!</v>
      </c>
      <c r="E108" s="323" t="str">
        <f t="shared" si="98"/>
        <v>#REF!</v>
      </c>
      <c r="F108" s="324" t="s">
        <v>884</v>
      </c>
      <c r="G108" s="324" t="s">
        <v>884</v>
      </c>
      <c r="H108" s="324" t="s">
        <v>884</v>
      </c>
      <c r="I108" s="324" t="s">
        <v>884</v>
      </c>
      <c r="J108" s="324" t="s">
        <v>884</v>
      </c>
      <c r="K108" s="324" t="s">
        <v>884</v>
      </c>
      <c r="L108" s="324" t="s">
        <v>884</v>
      </c>
      <c r="M108" s="324"/>
      <c r="N108" s="324"/>
      <c r="O108" s="324"/>
      <c r="P108" s="324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27.75" customHeight="1">
      <c r="A109" s="321">
        <f t="shared" si="84"/>
        <v>17</v>
      </c>
      <c r="B109" s="321" t="s">
        <v>1401</v>
      </c>
      <c r="C109" s="322" t="str">
        <f t="shared" ref="C109:E109" si="99">#REF!</f>
        <v>#REF!</v>
      </c>
      <c r="D109" s="323" t="str">
        <f t="shared" si="99"/>
        <v>#REF!</v>
      </c>
      <c r="E109" s="323" t="str">
        <f t="shared" si="99"/>
        <v>#REF!</v>
      </c>
      <c r="F109" s="324" t="s">
        <v>884</v>
      </c>
      <c r="G109" s="324" t="s">
        <v>884</v>
      </c>
      <c r="H109" s="324" t="s">
        <v>884</v>
      </c>
      <c r="I109" s="324" t="s">
        <v>884</v>
      </c>
      <c r="J109" s="324" t="s">
        <v>884</v>
      </c>
      <c r="K109" s="324" t="s">
        <v>884</v>
      </c>
      <c r="L109" s="324" t="s">
        <v>884</v>
      </c>
      <c r="M109" s="324"/>
      <c r="N109" s="324"/>
      <c r="O109" s="324"/>
      <c r="P109" s="324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27.75" customHeight="1">
      <c r="A110" s="321">
        <f t="shared" si="84"/>
        <v>18</v>
      </c>
      <c r="B110" s="321" t="s">
        <v>795</v>
      </c>
      <c r="C110" s="322" t="str">
        <f t="shared" ref="C110:E110" si="100">#REF!</f>
        <v>#REF!</v>
      </c>
      <c r="D110" s="323" t="str">
        <f t="shared" si="100"/>
        <v>#REF!</v>
      </c>
      <c r="E110" s="323" t="str">
        <f t="shared" si="100"/>
        <v>#REF!</v>
      </c>
      <c r="F110" s="324" t="s">
        <v>884</v>
      </c>
      <c r="G110" s="324" t="s">
        <v>884</v>
      </c>
      <c r="H110" s="324" t="s">
        <v>884</v>
      </c>
      <c r="I110" s="324" t="s">
        <v>884</v>
      </c>
      <c r="J110" s="324" t="s">
        <v>884</v>
      </c>
      <c r="K110" s="324" t="s">
        <v>884</v>
      </c>
      <c r="L110" s="324" t="s">
        <v>884</v>
      </c>
      <c r="M110" s="324"/>
      <c r="N110" s="324" t="s">
        <v>920</v>
      </c>
      <c r="O110" s="324" t="s">
        <v>920</v>
      </c>
      <c r="P110" s="324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27.75" customHeight="1">
      <c r="A111" s="321">
        <f t="shared" si="84"/>
        <v>19</v>
      </c>
      <c r="B111" s="321" t="s">
        <v>117</v>
      </c>
      <c r="C111" s="322" t="str">
        <f t="shared" ref="C111:E111" si="101">#REF!</f>
        <v>#REF!</v>
      </c>
      <c r="D111" s="323" t="str">
        <f t="shared" si="101"/>
        <v>#REF!</v>
      </c>
      <c r="E111" s="323" t="str">
        <f t="shared" si="101"/>
        <v>#REF!</v>
      </c>
      <c r="F111" s="324" t="s">
        <v>884</v>
      </c>
      <c r="G111" s="324" t="s">
        <v>884</v>
      </c>
      <c r="H111" s="324" t="s">
        <v>884</v>
      </c>
      <c r="I111" s="324" t="s">
        <v>884</v>
      </c>
      <c r="J111" s="324" t="s">
        <v>884</v>
      </c>
      <c r="K111" s="324" t="s">
        <v>884</v>
      </c>
      <c r="L111" s="324" t="s">
        <v>884</v>
      </c>
      <c r="M111" s="324"/>
      <c r="N111" s="324" t="s">
        <v>1402</v>
      </c>
      <c r="O111" s="324"/>
      <c r="P111" s="324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27.75" customHeight="1">
      <c r="A112" s="321">
        <f t="shared" si="84"/>
        <v>20</v>
      </c>
      <c r="B112" s="321" t="s">
        <v>1403</v>
      </c>
      <c r="C112" s="322" t="str">
        <f t="shared" ref="C112:E112" si="102">#REF!</f>
        <v>#REF!</v>
      </c>
      <c r="D112" s="323" t="str">
        <f t="shared" si="102"/>
        <v>#REF!</v>
      </c>
      <c r="E112" s="323" t="str">
        <f t="shared" si="102"/>
        <v>#REF!</v>
      </c>
      <c r="F112" s="324" t="s">
        <v>884</v>
      </c>
      <c r="G112" s="324" t="s">
        <v>884</v>
      </c>
      <c r="H112" s="324" t="s">
        <v>884</v>
      </c>
      <c r="I112" s="324" t="s">
        <v>884</v>
      </c>
      <c r="J112" s="324" t="s">
        <v>884</v>
      </c>
      <c r="K112" s="324" t="s">
        <v>884</v>
      </c>
      <c r="L112" s="324"/>
      <c r="M112" s="324"/>
      <c r="N112" s="324"/>
      <c r="O112" s="324" t="s">
        <v>920</v>
      </c>
      <c r="P112" s="324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27.75" customHeight="1">
      <c r="A113" s="321">
        <f t="shared" si="84"/>
        <v>21</v>
      </c>
      <c r="B113" s="321" t="s">
        <v>76</v>
      </c>
      <c r="C113" s="322" t="str">
        <f t="shared" ref="C113:E113" si="103">#REF!</f>
        <v>#REF!</v>
      </c>
      <c r="D113" s="323" t="str">
        <f t="shared" si="103"/>
        <v>#REF!</v>
      </c>
      <c r="E113" s="323" t="str">
        <f t="shared" si="103"/>
        <v>#REF!</v>
      </c>
      <c r="F113" s="324" t="s">
        <v>884</v>
      </c>
      <c r="G113" s="324" t="s">
        <v>884</v>
      </c>
      <c r="H113" s="324" t="s">
        <v>884</v>
      </c>
      <c r="I113" s="324" t="s">
        <v>884</v>
      </c>
      <c r="J113" s="324" t="s">
        <v>884</v>
      </c>
      <c r="K113" s="324" t="s">
        <v>884</v>
      </c>
      <c r="L113" s="324" t="s">
        <v>884</v>
      </c>
      <c r="M113" s="324"/>
      <c r="N113" s="324"/>
      <c r="O113" s="324"/>
      <c r="P113" s="324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13.5" customHeight="1">
      <c r="A114" s="7"/>
      <c r="B114" s="340"/>
      <c r="C114" s="327"/>
      <c r="D114" s="7"/>
      <c r="E114" s="7"/>
      <c r="F114" s="320"/>
      <c r="G114" s="320"/>
      <c r="H114" s="320"/>
      <c r="I114" s="320"/>
      <c r="J114" s="320"/>
      <c r="K114" s="320"/>
      <c r="L114" s="320"/>
      <c r="M114" s="240"/>
      <c r="N114" s="324"/>
      <c r="O114" s="324"/>
      <c r="P114" s="324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13.5" customHeight="1">
      <c r="A115" s="318" t="s">
        <v>1405</v>
      </c>
      <c r="B115" s="319"/>
      <c r="C115" s="319"/>
      <c r="D115" s="319"/>
      <c r="E115" s="319"/>
      <c r="F115" s="320"/>
      <c r="G115" s="320"/>
      <c r="H115" s="320"/>
      <c r="I115" s="320"/>
      <c r="J115" s="320"/>
      <c r="K115" s="320"/>
      <c r="L115" s="320"/>
      <c r="M115" s="240"/>
      <c r="N115" s="324"/>
      <c r="O115" s="324"/>
      <c r="P115" s="324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27.75" customHeight="1">
      <c r="A116" s="341">
        <v>1.0</v>
      </c>
      <c r="B116" s="342" t="s">
        <v>433</v>
      </c>
      <c r="C116" s="327" t="str">
        <f t="shared" ref="C116:E116" si="104">#REF!</f>
        <v>#REF!</v>
      </c>
      <c r="D116" s="7" t="str">
        <f t="shared" si="104"/>
        <v>#REF!</v>
      </c>
      <c r="E116" s="7" t="str">
        <f t="shared" si="104"/>
        <v>#REF!</v>
      </c>
      <c r="F116" s="324" t="s">
        <v>884</v>
      </c>
      <c r="G116" s="324" t="s">
        <v>1369</v>
      </c>
      <c r="H116" s="324" t="s">
        <v>884</v>
      </c>
      <c r="I116" s="324" t="s">
        <v>884</v>
      </c>
      <c r="J116" s="324" t="s">
        <v>884</v>
      </c>
      <c r="K116" s="324" t="s">
        <v>884</v>
      </c>
      <c r="L116" s="324" t="s">
        <v>884</v>
      </c>
      <c r="M116" s="324"/>
      <c r="N116" s="324"/>
      <c r="O116" s="324"/>
      <c r="P116" s="324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27.75" customHeight="1">
      <c r="A117" s="341">
        <f t="shared" ref="A117:A128" si="106">1+A116</f>
        <v>2</v>
      </c>
      <c r="B117" s="342" t="s">
        <v>84</v>
      </c>
      <c r="C117" s="327" t="str">
        <f t="shared" ref="C117:E117" si="105">#REF!</f>
        <v>#REF!</v>
      </c>
      <c r="D117" s="7" t="str">
        <f t="shared" si="105"/>
        <v>#REF!</v>
      </c>
      <c r="E117" s="7" t="str">
        <f t="shared" si="105"/>
        <v>#REF!</v>
      </c>
      <c r="F117" s="324" t="s">
        <v>884</v>
      </c>
      <c r="G117" s="324" t="s">
        <v>884</v>
      </c>
      <c r="H117" s="324" t="s">
        <v>884</v>
      </c>
      <c r="I117" s="324" t="s">
        <v>884</v>
      </c>
      <c r="J117" s="324" t="s">
        <v>884</v>
      </c>
      <c r="K117" s="324" t="s">
        <v>884</v>
      </c>
      <c r="L117" s="324" t="s">
        <v>884</v>
      </c>
      <c r="M117" s="324"/>
      <c r="N117" s="324"/>
      <c r="O117" s="324" t="s">
        <v>920</v>
      </c>
      <c r="P117" s="324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27.75" customHeight="1">
      <c r="A118" s="341">
        <f t="shared" si="106"/>
        <v>3</v>
      </c>
      <c r="B118" s="342" t="s">
        <v>570</v>
      </c>
      <c r="C118" s="327" t="str">
        <f t="shared" ref="C118:E118" si="107">#REF!</f>
        <v>#REF!</v>
      </c>
      <c r="D118" s="7" t="str">
        <f t="shared" si="107"/>
        <v>#REF!</v>
      </c>
      <c r="E118" s="7" t="str">
        <f t="shared" si="107"/>
        <v>#REF!</v>
      </c>
      <c r="F118" s="324" t="s">
        <v>884</v>
      </c>
      <c r="G118" s="324" t="s">
        <v>1354</v>
      </c>
      <c r="H118" s="324" t="s">
        <v>1102</v>
      </c>
      <c r="I118" s="324" t="s">
        <v>1345</v>
      </c>
      <c r="J118" s="324" t="s">
        <v>884</v>
      </c>
      <c r="K118" s="324" t="s">
        <v>884</v>
      </c>
      <c r="L118" s="324" t="s">
        <v>884</v>
      </c>
      <c r="M118" s="324"/>
      <c r="N118" s="324"/>
      <c r="O118" s="324"/>
      <c r="P118" s="324" t="s">
        <v>1382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27.75" customHeight="1">
      <c r="A119" s="341">
        <f t="shared" si="106"/>
        <v>4</v>
      </c>
      <c r="B119" s="342" t="s">
        <v>1407</v>
      </c>
      <c r="C119" s="327" t="str">
        <f t="shared" ref="C119:E119" si="108">#REF!</f>
        <v>#REF!</v>
      </c>
      <c r="D119" s="7" t="str">
        <f t="shared" si="108"/>
        <v>#REF!</v>
      </c>
      <c r="E119" s="7" t="str">
        <f t="shared" si="108"/>
        <v>#REF!</v>
      </c>
      <c r="F119" s="324" t="s">
        <v>881</v>
      </c>
      <c r="G119" s="324" t="s">
        <v>884</v>
      </c>
      <c r="H119" s="324" t="s">
        <v>1102</v>
      </c>
      <c r="I119" s="324" t="s">
        <v>884</v>
      </c>
      <c r="J119" s="324" t="s">
        <v>884</v>
      </c>
      <c r="K119" s="324" t="s">
        <v>884</v>
      </c>
      <c r="L119" s="324" t="s">
        <v>884</v>
      </c>
      <c r="M119" s="324"/>
      <c r="N119" s="324"/>
      <c r="O119" s="324"/>
      <c r="P119" s="324" t="s">
        <v>1408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27.75" customHeight="1">
      <c r="A120" s="341">
        <f t="shared" si="106"/>
        <v>5</v>
      </c>
      <c r="B120" s="342" t="s">
        <v>540</v>
      </c>
      <c r="C120" s="327" t="str">
        <f t="shared" ref="C120:E120" si="109">#REF!</f>
        <v>#REF!</v>
      </c>
      <c r="D120" s="7" t="str">
        <f t="shared" si="109"/>
        <v>#REF!</v>
      </c>
      <c r="E120" s="7" t="str">
        <f t="shared" si="109"/>
        <v>#REF!</v>
      </c>
      <c r="F120" s="324" t="s">
        <v>1327</v>
      </c>
      <c r="G120" s="324" t="s">
        <v>884</v>
      </c>
      <c r="H120" s="324" t="s">
        <v>884</v>
      </c>
      <c r="I120" s="324" t="s">
        <v>884</v>
      </c>
      <c r="J120" s="324" t="s">
        <v>933</v>
      </c>
      <c r="K120" s="324" t="s">
        <v>884</v>
      </c>
      <c r="L120" s="324" t="s">
        <v>884</v>
      </c>
      <c r="M120" s="324"/>
      <c r="N120" s="324" t="s">
        <v>1318</v>
      </c>
      <c r="O120" s="324" t="s">
        <v>1251</v>
      </c>
      <c r="P120" s="324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ht="27.75" customHeight="1">
      <c r="A121" s="341">
        <f t="shared" si="106"/>
        <v>6</v>
      </c>
      <c r="B121" s="342" t="s">
        <v>120</v>
      </c>
      <c r="C121" s="327" t="str">
        <f t="shared" ref="C121:E121" si="110">#REF!</f>
        <v>#REF!</v>
      </c>
      <c r="D121" s="7" t="str">
        <f t="shared" si="110"/>
        <v>#REF!</v>
      </c>
      <c r="E121" s="7" t="str">
        <f t="shared" si="110"/>
        <v>#REF!</v>
      </c>
      <c r="F121" s="324" t="s">
        <v>884</v>
      </c>
      <c r="G121" s="324" t="s">
        <v>884</v>
      </c>
      <c r="H121" s="324" t="s">
        <v>884</v>
      </c>
      <c r="I121" s="324" t="s">
        <v>884</v>
      </c>
      <c r="J121" s="324" t="s">
        <v>884</v>
      </c>
      <c r="K121" s="324" t="s">
        <v>884</v>
      </c>
      <c r="L121" s="324" t="s">
        <v>884</v>
      </c>
      <c r="M121" s="324"/>
      <c r="N121" s="324" t="s">
        <v>1092</v>
      </c>
      <c r="O121" s="324"/>
      <c r="P121" s="324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27.75" customHeight="1">
      <c r="A122" s="341">
        <f t="shared" si="106"/>
        <v>7</v>
      </c>
      <c r="B122" s="342" t="s">
        <v>1409</v>
      </c>
      <c r="C122" s="327" t="str">
        <f t="shared" ref="C122:E122" si="111">#REF!</f>
        <v>#REF!</v>
      </c>
      <c r="D122" s="7" t="str">
        <f t="shared" si="111"/>
        <v>#REF!</v>
      </c>
      <c r="E122" s="7" t="str">
        <f t="shared" si="111"/>
        <v>#REF!</v>
      </c>
      <c r="F122" s="324" t="s">
        <v>1336</v>
      </c>
      <c r="G122" s="324" t="s">
        <v>884</v>
      </c>
      <c r="H122" s="324" t="s">
        <v>1306</v>
      </c>
      <c r="I122" s="324" t="s">
        <v>1115</v>
      </c>
      <c r="J122" s="324" t="s">
        <v>933</v>
      </c>
      <c r="K122" s="324" t="s">
        <v>884</v>
      </c>
      <c r="L122" s="324" t="s">
        <v>884</v>
      </c>
      <c r="M122" s="324"/>
      <c r="N122" s="324"/>
      <c r="O122" s="324" t="s">
        <v>1410</v>
      </c>
      <c r="P122" s="324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27.75" customHeight="1">
      <c r="A123" s="341">
        <f t="shared" si="106"/>
        <v>8</v>
      </c>
      <c r="B123" s="342" t="s">
        <v>607</v>
      </c>
      <c r="C123" s="327" t="str">
        <f t="shared" ref="C123:E123" si="112">#REF!</f>
        <v>#REF!</v>
      </c>
      <c r="D123" s="7" t="str">
        <f t="shared" si="112"/>
        <v>#REF!</v>
      </c>
      <c r="E123" s="7" t="str">
        <f t="shared" si="112"/>
        <v>#REF!</v>
      </c>
      <c r="F123" s="324" t="s">
        <v>884</v>
      </c>
      <c r="G123" s="324" t="s">
        <v>884</v>
      </c>
      <c r="H123" s="324" t="s">
        <v>884</v>
      </c>
      <c r="I123" s="324" t="s">
        <v>884</v>
      </c>
      <c r="J123" s="324" t="s">
        <v>884</v>
      </c>
      <c r="K123" s="324" t="s">
        <v>884</v>
      </c>
      <c r="L123" s="324" t="s">
        <v>884</v>
      </c>
      <c r="M123" s="324"/>
      <c r="N123" s="324"/>
      <c r="O123" s="324"/>
      <c r="P123" s="324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ht="27.75" customHeight="1">
      <c r="A124" s="341">
        <f t="shared" si="106"/>
        <v>9</v>
      </c>
      <c r="B124" s="321" t="s">
        <v>1411</v>
      </c>
      <c r="C124" s="327" t="str">
        <f t="shared" ref="C124:E124" si="113">#REF!</f>
        <v>#REF!</v>
      </c>
      <c r="D124" s="7" t="str">
        <f t="shared" si="113"/>
        <v>#REF!</v>
      </c>
      <c r="E124" s="7" t="str">
        <f t="shared" si="113"/>
        <v>#REF!</v>
      </c>
      <c r="F124" s="324" t="s">
        <v>884</v>
      </c>
      <c r="G124" s="324" t="s">
        <v>884</v>
      </c>
      <c r="H124" s="324" t="s">
        <v>1102</v>
      </c>
      <c r="I124" s="324" t="s">
        <v>1345</v>
      </c>
      <c r="J124" s="324" t="s">
        <v>884</v>
      </c>
      <c r="K124" s="324" t="s">
        <v>884</v>
      </c>
      <c r="L124" s="324" t="s">
        <v>884</v>
      </c>
      <c r="M124" s="324"/>
      <c r="N124" s="324"/>
      <c r="O124" s="324"/>
      <c r="P124" s="324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ht="27.75" customHeight="1">
      <c r="A125" s="341">
        <f t="shared" si="106"/>
        <v>10</v>
      </c>
      <c r="B125" s="342" t="s">
        <v>543</v>
      </c>
      <c r="C125" s="327" t="str">
        <f t="shared" ref="C125:E125" si="114">#REF!</f>
        <v>#REF!</v>
      </c>
      <c r="D125" s="7" t="str">
        <f t="shared" si="114"/>
        <v>#REF!</v>
      </c>
      <c r="E125" s="7" t="str">
        <f t="shared" si="114"/>
        <v>#REF!</v>
      </c>
      <c r="F125" s="324" t="s">
        <v>884</v>
      </c>
      <c r="G125" s="324" t="s">
        <v>884</v>
      </c>
      <c r="H125" s="324" t="s">
        <v>884</v>
      </c>
      <c r="I125" s="324" t="s">
        <v>884</v>
      </c>
      <c r="J125" s="324" t="s">
        <v>884</v>
      </c>
      <c r="K125" s="324" t="s">
        <v>884</v>
      </c>
      <c r="L125" s="324" t="s">
        <v>884</v>
      </c>
      <c r="M125" s="324" t="s">
        <v>1412</v>
      </c>
      <c r="N125" s="324"/>
      <c r="O125" s="324"/>
      <c r="P125" s="324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27.75" customHeight="1">
      <c r="A126" s="341">
        <f t="shared" si="106"/>
        <v>11</v>
      </c>
      <c r="B126" s="342" t="s">
        <v>631</v>
      </c>
      <c r="C126" s="327" t="str">
        <f t="shared" ref="C126:E126" si="115">#REF!</f>
        <v>#REF!</v>
      </c>
      <c r="D126" s="7" t="str">
        <f t="shared" si="115"/>
        <v>#REF!</v>
      </c>
      <c r="E126" s="7" t="str">
        <f t="shared" si="115"/>
        <v>#REF!</v>
      </c>
      <c r="F126" s="324" t="s">
        <v>884</v>
      </c>
      <c r="G126" s="324" t="s">
        <v>884</v>
      </c>
      <c r="H126" s="324" t="s">
        <v>884</v>
      </c>
      <c r="I126" s="324" t="s">
        <v>884</v>
      </c>
      <c r="J126" s="324" t="s">
        <v>884</v>
      </c>
      <c r="K126" s="324" t="s">
        <v>884</v>
      </c>
      <c r="L126" s="324" t="s">
        <v>884</v>
      </c>
      <c r="M126" s="324" t="s">
        <v>1413</v>
      </c>
      <c r="N126" s="324"/>
      <c r="O126" s="324"/>
      <c r="P126" s="324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27.75" customHeight="1">
      <c r="A127" s="321">
        <f t="shared" si="106"/>
        <v>12</v>
      </c>
      <c r="B127" s="342" t="s">
        <v>1414</v>
      </c>
      <c r="C127" s="322" t="str">
        <f t="shared" ref="C127:E127" si="116">#REF!</f>
        <v>#REF!</v>
      </c>
      <c r="D127" s="323" t="str">
        <f t="shared" si="116"/>
        <v>#REF!</v>
      </c>
      <c r="E127" s="323" t="str">
        <f t="shared" si="116"/>
        <v>#REF!</v>
      </c>
      <c r="F127" s="324" t="s">
        <v>884</v>
      </c>
      <c r="G127" s="324" t="s">
        <v>884</v>
      </c>
      <c r="H127" s="324" t="s">
        <v>884</v>
      </c>
      <c r="I127" s="324" t="s">
        <v>884</v>
      </c>
      <c r="J127" s="324" t="s">
        <v>884</v>
      </c>
      <c r="K127" s="324" t="s">
        <v>884</v>
      </c>
      <c r="L127" s="324" t="s">
        <v>884</v>
      </c>
      <c r="M127" s="324"/>
      <c r="N127" s="324"/>
      <c r="O127" s="324" t="s">
        <v>1415</v>
      </c>
      <c r="P127" s="324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</row>
    <row r="128" ht="27.75" customHeight="1">
      <c r="A128" s="321">
        <f t="shared" si="106"/>
        <v>13</v>
      </c>
      <c r="B128" s="342" t="s">
        <v>1416</v>
      </c>
      <c r="C128" s="322" t="str">
        <f t="shared" ref="C128:E128" si="117">#REF!</f>
        <v>#REF!</v>
      </c>
      <c r="D128" s="323" t="str">
        <f t="shared" si="117"/>
        <v>#REF!</v>
      </c>
      <c r="E128" s="323" t="str">
        <f t="shared" si="117"/>
        <v>#REF!</v>
      </c>
      <c r="F128" s="324" t="s">
        <v>884</v>
      </c>
      <c r="G128" s="324" t="s">
        <v>884</v>
      </c>
      <c r="H128" s="324" t="s">
        <v>884</v>
      </c>
      <c r="I128" s="324" t="s">
        <v>884</v>
      </c>
      <c r="J128" s="324" t="s">
        <v>884</v>
      </c>
      <c r="K128" s="324" t="s">
        <v>884</v>
      </c>
      <c r="L128" s="324" t="s">
        <v>884</v>
      </c>
      <c r="M128" s="324" t="s">
        <v>1412</v>
      </c>
      <c r="N128" s="324"/>
      <c r="O128" s="324"/>
      <c r="P128" s="324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  <c r="AG128" s="323"/>
      <c r="AH128" s="323"/>
      <c r="AI128" s="323"/>
      <c r="AJ128" s="323"/>
    </row>
    <row r="129" ht="13.5" customHeight="1">
      <c r="A129" s="193"/>
      <c r="B129" s="343"/>
      <c r="C129" s="279"/>
      <c r="D129" s="7"/>
      <c r="E129" s="7"/>
      <c r="F129" s="320"/>
      <c r="G129" s="320"/>
      <c r="H129" s="320"/>
      <c r="I129" s="320"/>
      <c r="J129" s="320"/>
      <c r="K129" s="320"/>
      <c r="L129" s="320"/>
      <c r="M129" s="240"/>
      <c r="N129" s="324"/>
      <c r="O129" s="324"/>
      <c r="P129" s="324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37.5" customHeight="1">
      <c r="A130" s="318" t="s">
        <v>1417</v>
      </c>
      <c r="B130" s="319"/>
      <c r="C130" s="319"/>
      <c r="D130" s="319"/>
      <c r="E130" s="319"/>
      <c r="F130" s="320"/>
      <c r="G130" s="320"/>
      <c r="H130" s="320"/>
      <c r="I130" s="320"/>
      <c r="J130" s="320"/>
      <c r="K130" s="320"/>
      <c r="L130" s="320"/>
      <c r="M130" s="240"/>
      <c r="N130" s="324"/>
      <c r="O130" s="324"/>
      <c r="P130" s="324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27.75" customHeight="1">
      <c r="A131" s="321">
        <v>1.0</v>
      </c>
      <c r="B131" s="321" t="s">
        <v>547</v>
      </c>
      <c r="C131" s="322" t="str">
        <f t="shared" ref="C131:E131" si="118">#REF!</f>
        <v>#REF!</v>
      </c>
      <c r="D131" s="323" t="str">
        <f t="shared" si="118"/>
        <v>#REF!</v>
      </c>
      <c r="E131" s="323" t="str">
        <f t="shared" si="118"/>
        <v>#REF!</v>
      </c>
      <c r="F131" s="324" t="s">
        <v>1344</v>
      </c>
      <c r="G131" s="324" t="s">
        <v>884</v>
      </c>
      <c r="H131" s="324" t="s">
        <v>1102</v>
      </c>
      <c r="I131" s="324" t="s">
        <v>884</v>
      </c>
      <c r="J131" s="324" t="s">
        <v>884</v>
      </c>
      <c r="K131" s="324" t="s">
        <v>884</v>
      </c>
      <c r="L131" s="324" t="s">
        <v>884</v>
      </c>
      <c r="M131" s="324"/>
      <c r="N131" s="324" t="s">
        <v>1418</v>
      </c>
      <c r="O131" s="324"/>
      <c r="P131" s="324" t="s">
        <v>1408</v>
      </c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3"/>
      <c r="AI131" s="323"/>
      <c r="AJ131" s="323"/>
    </row>
    <row r="132" ht="27.75" customHeight="1">
      <c r="A132" s="321">
        <f t="shared" ref="A132:A143" si="120">A131+1</f>
        <v>2</v>
      </c>
      <c r="B132" s="321" t="s">
        <v>384</v>
      </c>
      <c r="C132" s="322" t="str">
        <f t="shared" ref="C132:E132" si="119">#REF!</f>
        <v>#REF!</v>
      </c>
      <c r="D132" s="323" t="str">
        <f t="shared" si="119"/>
        <v>#REF!</v>
      </c>
      <c r="E132" s="323" t="str">
        <f t="shared" si="119"/>
        <v>#REF!</v>
      </c>
      <c r="F132" s="324" t="s">
        <v>884</v>
      </c>
      <c r="G132" s="324" t="s">
        <v>884</v>
      </c>
      <c r="H132" s="324" t="s">
        <v>884</v>
      </c>
      <c r="I132" s="324" t="s">
        <v>1384</v>
      </c>
      <c r="J132" s="324" t="s">
        <v>884</v>
      </c>
      <c r="K132" s="324" t="s">
        <v>884</v>
      </c>
      <c r="L132" s="324" t="s">
        <v>884</v>
      </c>
      <c r="M132" s="324"/>
      <c r="N132" s="324"/>
      <c r="O132" s="324"/>
      <c r="P132" s="324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3"/>
      <c r="AI132" s="323"/>
      <c r="AJ132" s="323"/>
    </row>
    <row r="133" ht="27.75" customHeight="1">
      <c r="A133" s="321">
        <f t="shared" si="120"/>
        <v>3</v>
      </c>
      <c r="B133" s="321" t="s">
        <v>922</v>
      </c>
      <c r="C133" s="322" t="str">
        <f t="shared" ref="C133:E133" si="121">#REF!</f>
        <v>#REF!</v>
      </c>
      <c r="D133" s="323" t="str">
        <f t="shared" si="121"/>
        <v>#REF!</v>
      </c>
      <c r="E133" s="323" t="str">
        <f t="shared" si="121"/>
        <v>#REF!</v>
      </c>
      <c r="F133" s="324" t="s">
        <v>884</v>
      </c>
      <c r="G133" s="324" t="s">
        <v>884</v>
      </c>
      <c r="H133" s="324" t="s">
        <v>884</v>
      </c>
      <c r="I133" s="324" t="s">
        <v>884</v>
      </c>
      <c r="J133" s="324" t="s">
        <v>933</v>
      </c>
      <c r="K133" s="324" t="s">
        <v>884</v>
      </c>
      <c r="L133" s="324" t="s">
        <v>884</v>
      </c>
      <c r="M133" s="324" t="s">
        <v>1419</v>
      </c>
      <c r="N133" s="324" t="s">
        <v>1318</v>
      </c>
      <c r="O133" s="324"/>
      <c r="P133" s="324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27.75" customHeight="1">
      <c r="A134" s="321">
        <f t="shared" si="120"/>
        <v>4</v>
      </c>
      <c r="B134" s="321" t="s">
        <v>609</v>
      </c>
      <c r="C134" s="322" t="str">
        <f t="shared" ref="C134:E134" si="122">#REF!</f>
        <v>#REF!</v>
      </c>
      <c r="D134" s="323" t="str">
        <f t="shared" si="122"/>
        <v>#REF!</v>
      </c>
      <c r="E134" s="323" t="str">
        <f t="shared" si="122"/>
        <v>#REF!</v>
      </c>
      <c r="F134" s="324" t="s">
        <v>881</v>
      </c>
      <c r="G134" s="324" t="s">
        <v>1354</v>
      </c>
      <c r="H134" s="324" t="s">
        <v>884</v>
      </c>
      <c r="I134" s="324" t="s">
        <v>884</v>
      </c>
      <c r="J134" s="324" t="s">
        <v>884</v>
      </c>
      <c r="K134" s="324" t="s">
        <v>884</v>
      </c>
      <c r="L134" s="324" t="s">
        <v>884</v>
      </c>
      <c r="M134" s="324"/>
      <c r="N134" s="324" t="s">
        <v>1318</v>
      </c>
      <c r="O134" s="324"/>
      <c r="P134" s="324" t="s">
        <v>1382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324"/>
      <c r="AC134" s="7"/>
      <c r="AD134" s="7"/>
      <c r="AE134" s="7"/>
      <c r="AF134" s="7"/>
      <c r="AG134" s="7"/>
      <c r="AH134" s="7"/>
      <c r="AI134" s="7"/>
      <c r="AJ134" s="7"/>
    </row>
    <row r="135" ht="27.75" customHeight="1">
      <c r="A135" s="321">
        <f t="shared" si="120"/>
        <v>5</v>
      </c>
      <c r="B135" s="321" t="s">
        <v>140</v>
      </c>
      <c r="C135" s="322" t="str">
        <f t="shared" ref="C135:E135" si="123">#REF!</f>
        <v>#REF!</v>
      </c>
      <c r="D135" s="323" t="str">
        <f t="shared" si="123"/>
        <v>#REF!</v>
      </c>
      <c r="E135" s="323" t="str">
        <f t="shared" si="123"/>
        <v>#REF!</v>
      </c>
      <c r="F135" s="324" t="s">
        <v>884</v>
      </c>
      <c r="G135" s="324" t="s">
        <v>884</v>
      </c>
      <c r="H135" s="324" t="s">
        <v>884</v>
      </c>
      <c r="I135" s="324" t="s">
        <v>884</v>
      </c>
      <c r="J135" s="324" t="s">
        <v>884</v>
      </c>
      <c r="K135" s="324" t="s">
        <v>884</v>
      </c>
      <c r="L135" s="324" t="s">
        <v>884</v>
      </c>
      <c r="M135" s="324" t="s">
        <v>1420</v>
      </c>
      <c r="N135" s="324"/>
      <c r="O135" s="324"/>
      <c r="P135" s="324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27.75" customHeight="1">
      <c r="A136" s="321">
        <f t="shared" si="120"/>
        <v>6</v>
      </c>
      <c r="B136" s="321" t="s">
        <v>592</v>
      </c>
      <c r="C136" s="322" t="str">
        <f t="shared" ref="C136:E136" si="124">#REF!</f>
        <v>#REF!</v>
      </c>
      <c r="D136" s="323" t="str">
        <f t="shared" si="124"/>
        <v>#REF!</v>
      </c>
      <c r="E136" s="323" t="str">
        <f t="shared" si="124"/>
        <v>#REF!</v>
      </c>
      <c r="F136" s="324" t="s">
        <v>884</v>
      </c>
      <c r="G136" s="324" t="s">
        <v>884</v>
      </c>
      <c r="H136" s="324" t="s">
        <v>884</v>
      </c>
      <c r="I136" s="324" t="s">
        <v>884</v>
      </c>
      <c r="J136" s="324" t="s">
        <v>884</v>
      </c>
      <c r="K136" s="324" t="s">
        <v>884</v>
      </c>
      <c r="L136" s="324" t="s">
        <v>1406</v>
      </c>
      <c r="M136" s="323"/>
      <c r="N136" s="324"/>
      <c r="O136" s="324"/>
      <c r="P136" s="324" t="s">
        <v>1421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27.75" customHeight="1">
      <c r="A137" s="321">
        <f t="shared" si="120"/>
        <v>7</v>
      </c>
      <c r="B137" s="321" t="s">
        <v>1422</v>
      </c>
      <c r="C137" s="322" t="str">
        <f t="shared" ref="C137:E137" si="125">#REF!</f>
        <v>#REF!</v>
      </c>
      <c r="D137" s="323" t="str">
        <f t="shared" si="125"/>
        <v>#REF!</v>
      </c>
      <c r="E137" s="323" t="str">
        <f t="shared" si="125"/>
        <v>#REF!</v>
      </c>
      <c r="F137" s="324" t="s">
        <v>1342</v>
      </c>
      <c r="G137" s="324" t="s">
        <v>884</v>
      </c>
      <c r="H137" s="324" t="s">
        <v>884</v>
      </c>
      <c r="I137" s="324" t="s">
        <v>884</v>
      </c>
      <c r="J137" s="324" t="s">
        <v>933</v>
      </c>
      <c r="K137" s="324" t="s">
        <v>884</v>
      </c>
      <c r="L137" s="324" t="s">
        <v>884</v>
      </c>
      <c r="M137" s="324"/>
      <c r="N137" s="324"/>
      <c r="O137" s="324"/>
      <c r="P137" s="324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ht="27.75" customHeight="1">
      <c r="A138" s="321">
        <f t="shared" si="120"/>
        <v>8</v>
      </c>
      <c r="B138" s="321" t="s">
        <v>577</v>
      </c>
      <c r="C138" s="322" t="str">
        <f t="shared" ref="C138:E138" si="126">#REF!</f>
        <v>#REF!</v>
      </c>
      <c r="D138" s="323" t="str">
        <f t="shared" si="126"/>
        <v>#REF!</v>
      </c>
      <c r="E138" s="323" t="str">
        <f t="shared" si="126"/>
        <v>#REF!</v>
      </c>
      <c r="F138" s="324" t="s">
        <v>884</v>
      </c>
      <c r="G138" s="324" t="s">
        <v>884</v>
      </c>
      <c r="H138" s="324" t="s">
        <v>884</v>
      </c>
      <c r="I138" s="324" t="s">
        <v>884</v>
      </c>
      <c r="J138" s="324" t="s">
        <v>884</v>
      </c>
      <c r="K138" s="324" t="s">
        <v>884</v>
      </c>
      <c r="L138" s="324" t="s">
        <v>884</v>
      </c>
      <c r="M138" s="324" t="s">
        <v>1423</v>
      </c>
      <c r="N138" s="324"/>
      <c r="O138" s="324"/>
      <c r="P138" s="324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ht="27.75" customHeight="1">
      <c r="A139" s="321">
        <f t="shared" si="120"/>
        <v>9</v>
      </c>
      <c r="B139" s="321" t="s">
        <v>1424</v>
      </c>
      <c r="C139" s="322" t="str">
        <f t="shared" ref="C139:E139" si="127">#REF!</f>
        <v>#REF!</v>
      </c>
      <c r="D139" s="323" t="str">
        <f t="shared" si="127"/>
        <v>#REF!</v>
      </c>
      <c r="E139" s="323" t="str">
        <f t="shared" si="127"/>
        <v>#REF!</v>
      </c>
      <c r="F139" s="324" t="s">
        <v>884</v>
      </c>
      <c r="G139" s="324" t="s">
        <v>884</v>
      </c>
      <c r="H139" s="324" t="s">
        <v>884</v>
      </c>
      <c r="I139" s="324" t="s">
        <v>884</v>
      </c>
      <c r="J139" s="324" t="s">
        <v>884</v>
      </c>
      <c r="K139" s="324" t="s">
        <v>884</v>
      </c>
      <c r="L139" s="324" t="s">
        <v>884</v>
      </c>
      <c r="M139" s="324"/>
      <c r="N139" s="324"/>
      <c r="O139" s="324"/>
      <c r="P139" s="324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ht="27.75" customHeight="1">
      <c r="A140" s="321">
        <f t="shared" si="120"/>
        <v>10</v>
      </c>
      <c r="B140" s="321" t="s">
        <v>1425</v>
      </c>
      <c r="C140" s="322" t="str">
        <f t="shared" ref="C140:E140" si="128">#REF!</f>
        <v>#REF!</v>
      </c>
      <c r="D140" s="323" t="str">
        <f t="shared" si="128"/>
        <v>#REF!</v>
      </c>
      <c r="E140" s="323" t="str">
        <f t="shared" si="128"/>
        <v>#REF!</v>
      </c>
      <c r="F140" s="324" t="s">
        <v>884</v>
      </c>
      <c r="G140" s="324" t="s">
        <v>884</v>
      </c>
      <c r="H140" s="324" t="s">
        <v>884</v>
      </c>
      <c r="I140" s="324" t="s">
        <v>884</v>
      </c>
      <c r="J140" s="324" t="s">
        <v>884</v>
      </c>
      <c r="K140" s="324" t="s">
        <v>884</v>
      </c>
      <c r="L140" s="324" t="s">
        <v>884</v>
      </c>
      <c r="M140" s="324"/>
      <c r="N140" s="324"/>
      <c r="O140" s="324"/>
      <c r="P140" s="324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ht="27.75" customHeight="1">
      <c r="A141" s="321">
        <f t="shared" si="120"/>
        <v>11</v>
      </c>
      <c r="B141" s="321" t="s">
        <v>917</v>
      </c>
      <c r="C141" s="322" t="str">
        <f t="shared" ref="C141:E141" si="129">#REF!</f>
        <v>#REF!</v>
      </c>
      <c r="D141" s="323" t="str">
        <f t="shared" si="129"/>
        <v>#REF!</v>
      </c>
      <c r="E141" s="323" t="str">
        <f t="shared" si="129"/>
        <v>#REF!</v>
      </c>
      <c r="F141" s="324" t="s">
        <v>884</v>
      </c>
      <c r="G141" s="324" t="s">
        <v>884</v>
      </c>
      <c r="H141" s="324" t="s">
        <v>884</v>
      </c>
      <c r="I141" s="324" t="s">
        <v>884</v>
      </c>
      <c r="J141" s="324" t="s">
        <v>884</v>
      </c>
      <c r="K141" s="324" t="s">
        <v>884</v>
      </c>
      <c r="L141" s="324" t="s">
        <v>884</v>
      </c>
      <c r="M141" s="324"/>
      <c r="N141" s="324" t="s">
        <v>1418</v>
      </c>
      <c r="O141" s="324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ht="27.75" customHeight="1">
      <c r="A142" s="321">
        <f t="shared" si="120"/>
        <v>12</v>
      </c>
      <c r="B142" s="321" t="s">
        <v>1427</v>
      </c>
      <c r="C142" s="322" t="str">
        <f t="shared" ref="C142:E142" si="130">#REF!</f>
        <v>#REF!</v>
      </c>
      <c r="D142" s="323" t="str">
        <f t="shared" si="130"/>
        <v>#REF!</v>
      </c>
      <c r="E142" s="323" t="str">
        <f t="shared" si="130"/>
        <v>#REF!</v>
      </c>
      <c r="F142" s="324" t="s">
        <v>884</v>
      </c>
      <c r="G142" s="324" t="s">
        <v>884</v>
      </c>
      <c r="H142" s="324"/>
      <c r="I142" s="324" t="s">
        <v>884</v>
      </c>
      <c r="J142" s="324" t="s">
        <v>884</v>
      </c>
      <c r="K142" s="324" t="s">
        <v>884</v>
      </c>
      <c r="L142" s="324" t="s">
        <v>884</v>
      </c>
      <c r="M142" s="324"/>
      <c r="N142" s="324"/>
      <c r="O142" s="324"/>
      <c r="P142" s="324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ht="27.75" customHeight="1">
      <c r="A143" s="321">
        <f t="shared" si="120"/>
        <v>13</v>
      </c>
      <c r="B143" s="321" t="s">
        <v>1428</v>
      </c>
      <c r="C143" s="322" t="str">
        <f t="shared" ref="C143:E143" si="131">#REF!</f>
        <v>#REF!</v>
      </c>
      <c r="D143" s="323" t="str">
        <f t="shared" si="131"/>
        <v>#REF!</v>
      </c>
      <c r="E143" s="323" t="str">
        <f t="shared" si="131"/>
        <v>#REF!</v>
      </c>
      <c r="F143" s="324" t="s">
        <v>884</v>
      </c>
      <c r="G143" s="324" t="s">
        <v>884</v>
      </c>
      <c r="H143" s="324" t="s">
        <v>884</v>
      </c>
      <c r="I143" s="324" t="s">
        <v>884</v>
      </c>
      <c r="J143" s="324" t="s">
        <v>884</v>
      </c>
      <c r="K143" s="324" t="s">
        <v>884</v>
      </c>
      <c r="L143" s="324" t="s">
        <v>884</v>
      </c>
      <c r="M143" s="324"/>
      <c r="N143" s="324" t="s">
        <v>1318</v>
      </c>
      <c r="O143" s="324"/>
      <c r="P143" s="324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ht="13.5" customHeight="1">
      <c r="A144" s="7"/>
      <c r="B144" s="340"/>
      <c r="C144" s="312"/>
      <c r="D144" s="7"/>
      <c r="E144" s="7"/>
      <c r="F144" s="328"/>
      <c r="G144" s="328"/>
      <c r="H144" s="328"/>
      <c r="I144" s="328"/>
      <c r="J144" s="328"/>
      <c r="K144" s="328"/>
      <c r="L144" s="328"/>
      <c r="M144" s="328"/>
      <c r="N144" s="324"/>
      <c r="O144" s="324"/>
      <c r="P144" s="324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ht="13.5" customHeight="1">
      <c r="A145" s="318" t="s">
        <v>1430</v>
      </c>
      <c r="B145" s="319"/>
      <c r="C145" s="319"/>
      <c r="D145" s="319"/>
      <c r="E145" s="319"/>
      <c r="F145" s="320"/>
      <c r="G145" s="320"/>
      <c r="H145" s="320"/>
      <c r="I145" s="320"/>
      <c r="J145" s="320"/>
      <c r="K145" s="320"/>
      <c r="L145" s="320"/>
      <c r="M145" s="240"/>
      <c r="N145" s="324"/>
      <c r="O145" s="324"/>
      <c r="P145" s="324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ht="27.75" customHeight="1">
      <c r="A146" s="321">
        <v>1.0</v>
      </c>
      <c r="B146" s="321" t="s">
        <v>75</v>
      </c>
      <c r="C146" s="322" t="str">
        <f t="shared" ref="C146:E146" si="132">#REF!</f>
        <v>#REF!</v>
      </c>
      <c r="D146" s="323" t="str">
        <f t="shared" si="132"/>
        <v>#REF!</v>
      </c>
      <c r="E146" s="323" t="str">
        <f t="shared" si="132"/>
        <v>#REF!</v>
      </c>
      <c r="F146" s="324" t="s">
        <v>881</v>
      </c>
      <c r="G146" s="324" t="s">
        <v>1354</v>
      </c>
      <c r="H146" s="324" t="s">
        <v>884</v>
      </c>
      <c r="I146" s="324" t="s">
        <v>1115</v>
      </c>
      <c r="J146" s="324" t="s">
        <v>1391</v>
      </c>
      <c r="K146" s="324" t="s">
        <v>884</v>
      </c>
      <c r="L146" s="324" t="s">
        <v>884</v>
      </c>
      <c r="M146" s="324"/>
      <c r="N146" s="324" t="s">
        <v>1318</v>
      </c>
      <c r="O146" s="324"/>
      <c r="P146" s="324" t="s">
        <v>1432</v>
      </c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  <c r="AG146" s="323"/>
      <c r="AH146" s="323"/>
      <c r="AI146" s="323"/>
      <c r="AJ146" s="323"/>
    </row>
    <row r="147" ht="27.75" customHeight="1">
      <c r="A147" s="321">
        <v>2.0</v>
      </c>
      <c r="B147" s="321" t="s">
        <v>1433</v>
      </c>
      <c r="C147" s="322" t="str">
        <f t="shared" ref="C147:E147" si="133">#REF!</f>
        <v>#REF!</v>
      </c>
      <c r="D147" s="323" t="str">
        <f t="shared" si="133"/>
        <v>#REF!</v>
      </c>
      <c r="E147" s="323" t="str">
        <f t="shared" si="133"/>
        <v>#REF!</v>
      </c>
      <c r="F147" s="324" t="s">
        <v>884</v>
      </c>
      <c r="G147" s="324" t="s">
        <v>884</v>
      </c>
      <c r="H147" s="324" t="s">
        <v>884</v>
      </c>
      <c r="I147" s="324" t="s">
        <v>884</v>
      </c>
      <c r="J147" s="324" t="s">
        <v>933</v>
      </c>
      <c r="K147" s="324" t="s">
        <v>884</v>
      </c>
      <c r="L147" s="324" t="s">
        <v>884</v>
      </c>
      <c r="M147" s="324" t="s">
        <v>1434</v>
      </c>
      <c r="N147" s="324" t="s">
        <v>1435</v>
      </c>
      <c r="O147" s="324" t="s">
        <v>920</v>
      </c>
      <c r="P147" s="324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ht="27.75" customHeight="1">
      <c r="A148" s="321">
        <v>3.0</v>
      </c>
      <c r="B148" s="321" t="s">
        <v>71</v>
      </c>
      <c r="C148" s="322" t="str">
        <f t="shared" ref="C148:E148" si="134">#REF!</f>
        <v>#REF!</v>
      </c>
      <c r="D148" s="323" t="str">
        <f t="shared" si="134"/>
        <v>#REF!</v>
      </c>
      <c r="E148" s="323" t="str">
        <f t="shared" si="134"/>
        <v>#REF!</v>
      </c>
      <c r="F148" s="324" t="s">
        <v>884</v>
      </c>
      <c r="G148" s="324" t="s">
        <v>884</v>
      </c>
      <c r="H148" s="324" t="s">
        <v>884</v>
      </c>
      <c r="I148" s="324" t="s">
        <v>884</v>
      </c>
      <c r="J148" s="324" t="s">
        <v>933</v>
      </c>
      <c r="K148" s="324" t="s">
        <v>884</v>
      </c>
      <c r="L148" s="324" t="s">
        <v>884</v>
      </c>
      <c r="M148" s="324"/>
      <c r="N148" s="324" t="s">
        <v>1092</v>
      </c>
      <c r="O148" s="324"/>
      <c r="P148" s="324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ht="27.75" customHeight="1">
      <c r="A149" s="321">
        <v>4.0</v>
      </c>
      <c r="B149" s="321" t="s">
        <v>898</v>
      </c>
      <c r="C149" s="322" t="str">
        <f t="shared" ref="C149:E149" si="135">#REF!</f>
        <v>#REF!</v>
      </c>
      <c r="D149" s="323" t="str">
        <f t="shared" si="135"/>
        <v>#REF!</v>
      </c>
      <c r="E149" s="323" t="str">
        <f t="shared" si="135"/>
        <v>#REF!</v>
      </c>
      <c r="F149" s="324" t="s">
        <v>884</v>
      </c>
      <c r="G149" s="324"/>
      <c r="H149" s="324" t="s">
        <v>884</v>
      </c>
      <c r="I149" s="324" t="s">
        <v>884</v>
      </c>
      <c r="J149" s="324" t="s">
        <v>884</v>
      </c>
      <c r="K149" s="324" t="s">
        <v>884</v>
      </c>
      <c r="L149" s="324" t="s">
        <v>884</v>
      </c>
      <c r="M149" s="323"/>
      <c r="N149" s="324" t="s">
        <v>1251</v>
      </c>
      <c r="O149" s="324"/>
      <c r="P149" s="324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ht="27.75" customHeight="1">
      <c r="A150" s="321">
        <v>5.0</v>
      </c>
      <c r="B150" s="321" t="s">
        <v>412</v>
      </c>
      <c r="C150" s="322" t="str">
        <f t="shared" ref="C150:E150" si="136">#REF!</f>
        <v>#REF!</v>
      </c>
      <c r="D150" s="323" t="str">
        <f t="shared" si="136"/>
        <v>#REF!</v>
      </c>
      <c r="E150" s="323" t="str">
        <f t="shared" si="136"/>
        <v>#REF!</v>
      </c>
      <c r="F150" s="324" t="s">
        <v>884</v>
      </c>
      <c r="G150" s="324" t="s">
        <v>1356</v>
      </c>
      <c r="H150" s="324" t="s">
        <v>884</v>
      </c>
      <c r="I150" s="324" t="s">
        <v>884</v>
      </c>
      <c r="J150" s="324" t="s">
        <v>884</v>
      </c>
      <c r="K150" s="324" t="s">
        <v>884</v>
      </c>
      <c r="L150" s="324" t="s">
        <v>884</v>
      </c>
      <c r="M150" s="324" t="s">
        <v>1439</v>
      </c>
      <c r="N150" s="324" t="s">
        <v>920</v>
      </c>
      <c r="O150" s="324"/>
      <c r="P150" s="324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ht="27.75" customHeight="1">
      <c r="A151" s="321">
        <v>6.0</v>
      </c>
      <c r="B151" s="321" t="s">
        <v>326</v>
      </c>
      <c r="C151" s="322" t="str">
        <f t="shared" ref="C151:E151" si="137">#REF!</f>
        <v>#REF!</v>
      </c>
      <c r="D151" s="323" t="str">
        <f t="shared" si="137"/>
        <v>#REF!</v>
      </c>
      <c r="E151" s="323" t="str">
        <f t="shared" si="137"/>
        <v>#REF!</v>
      </c>
      <c r="F151" s="324" t="s">
        <v>884</v>
      </c>
      <c r="G151" s="324" t="s">
        <v>918</v>
      </c>
      <c r="H151" s="324" t="s">
        <v>884</v>
      </c>
      <c r="I151" s="324" t="s">
        <v>884</v>
      </c>
      <c r="J151" s="324" t="s">
        <v>884</v>
      </c>
      <c r="K151" s="324" t="s">
        <v>884</v>
      </c>
      <c r="L151" s="324" t="s">
        <v>884</v>
      </c>
      <c r="M151" s="324" t="s">
        <v>1195</v>
      </c>
      <c r="N151" s="324" t="s">
        <v>1440</v>
      </c>
      <c r="O151" s="324"/>
      <c r="P151" s="324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ht="27.75" customHeight="1">
      <c r="A152" s="321">
        <v>7.0</v>
      </c>
      <c r="B152" s="321" t="s">
        <v>60</v>
      </c>
      <c r="C152" s="322" t="str">
        <f t="shared" ref="C152:E152" si="138">#REF!</f>
        <v>#REF!</v>
      </c>
      <c r="D152" s="323" t="str">
        <f t="shared" si="138"/>
        <v>#REF!</v>
      </c>
      <c r="E152" s="323" t="str">
        <f t="shared" si="138"/>
        <v>#REF!</v>
      </c>
      <c r="F152" s="324" t="s">
        <v>884</v>
      </c>
      <c r="G152" s="324" t="s">
        <v>1356</v>
      </c>
      <c r="H152" s="324" t="s">
        <v>884</v>
      </c>
      <c r="I152" s="324" t="s">
        <v>884</v>
      </c>
      <c r="J152" s="324" t="s">
        <v>884</v>
      </c>
      <c r="K152" s="324" t="s">
        <v>884</v>
      </c>
      <c r="L152" s="324" t="s">
        <v>884</v>
      </c>
      <c r="M152" s="324" t="s">
        <v>1441</v>
      </c>
      <c r="N152" s="324" t="s">
        <v>1318</v>
      </c>
      <c r="O152" s="324"/>
      <c r="P152" s="324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ht="27.75" customHeight="1">
      <c r="A153" s="321">
        <v>8.0</v>
      </c>
      <c r="B153" s="321" t="s">
        <v>661</v>
      </c>
      <c r="C153" s="322" t="str">
        <f t="shared" ref="C153:E153" si="139">#REF!</f>
        <v>#REF!</v>
      </c>
      <c r="D153" s="323" t="str">
        <f t="shared" si="139"/>
        <v>#REF!</v>
      </c>
      <c r="E153" s="323" t="str">
        <f t="shared" si="139"/>
        <v>#REF!</v>
      </c>
      <c r="F153" s="324" t="s">
        <v>884</v>
      </c>
      <c r="G153" s="324" t="s">
        <v>1155</v>
      </c>
      <c r="H153" s="324" t="s">
        <v>884</v>
      </c>
      <c r="I153" s="324" t="s">
        <v>884</v>
      </c>
      <c r="J153" s="324" t="s">
        <v>884</v>
      </c>
      <c r="K153" s="324" t="s">
        <v>884</v>
      </c>
      <c r="L153" s="324" t="s">
        <v>884</v>
      </c>
      <c r="M153" s="324" t="s">
        <v>1442</v>
      </c>
      <c r="N153" s="324" t="s">
        <v>1443</v>
      </c>
      <c r="O153" s="324"/>
      <c r="P153" s="324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ht="27.75" customHeight="1">
      <c r="A154" s="321">
        <v>9.0</v>
      </c>
      <c r="B154" s="321" t="s">
        <v>670</v>
      </c>
      <c r="C154" s="322" t="str">
        <f t="shared" ref="C154:E154" si="140">#REF!</f>
        <v>#REF!</v>
      </c>
      <c r="D154" s="323" t="str">
        <f t="shared" si="140"/>
        <v>#REF!</v>
      </c>
      <c r="E154" s="323" t="str">
        <f t="shared" si="140"/>
        <v>#REF!</v>
      </c>
      <c r="F154" s="324" t="s">
        <v>884</v>
      </c>
      <c r="G154" s="324" t="s">
        <v>1356</v>
      </c>
      <c r="H154" s="324" t="s">
        <v>884</v>
      </c>
      <c r="I154" s="324" t="s">
        <v>884</v>
      </c>
      <c r="J154" s="324" t="s">
        <v>884</v>
      </c>
      <c r="K154" s="324" t="s">
        <v>884</v>
      </c>
      <c r="L154" s="324" t="s">
        <v>884</v>
      </c>
      <c r="M154" s="324" t="s">
        <v>1444</v>
      </c>
      <c r="N154" s="324" t="s">
        <v>1318</v>
      </c>
      <c r="O154" s="324"/>
      <c r="P154" s="324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ht="27.75" customHeight="1">
      <c r="A155" s="321">
        <v>10.0</v>
      </c>
      <c r="B155" s="321" t="s">
        <v>1445</v>
      </c>
      <c r="C155" s="322" t="str">
        <f t="shared" ref="C155:E155" si="141">#REF!</f>
        <v>#REF!</v>
      </c>
      <c r="D155" s="323" t="str">
        <f t="shared" si="141"/>
        <v>#REF!</v>
      </c>
      <c r="E155" s="323" t="str">
        <f t="shared" si="141"/>
        <v>#REF!</v>
      </c>
      <c r="F155" s="324" t="s">
        <v>884</v>
      </c>
      <c r="G155" s="324" t="s">
        <v>884</v>
      </c>
      <c r="H155" s="324" t="s">
        <v>884</v>
      </c>
      <c r="I155" s="324" t="s">
        <v>884</v>
      </c>
      <c r="J155" s="324" t="s">
        <v>884</v>
      </c>
      <c r="K155" s="324" t="s">
        <v>884</v>
      </c>
      <c r="L155" s="324" t="s">
        <v>884</v>
      </c>
      <c r="M155" s="324"/>
      <c r="N155" s="324"/>
      <c r="O155" s="324"/>
      <c r="P155" s="324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ht="27.75" customHeight="1">
      <c r="A156" s="321">
        <v>11.0</v>
      </c>
      <c r="B156" s="321" t="s">
        <v>515</v>
      </c>
      <c r="C156" s="322" t="str">
        <f t="shared" ref="C156:E156" si="142">#REF!</f>
        <v>#REF!</v>
      </c>
      <c r="D156" s="323" t="str">
        <f t="shared" si="142"/>
        <v>#REF!</v>
      </c>
      <c r="E156" s="323" t="str">
        <f t="shared" si="142"/>
        <v>#REF!</v>
      </c>
      <c r="F156" s="324" t="s">
        <v>884</v>
      </c>
      <c r="G156" s="324" t="s">
        <v>884</v>
      </c>
      <c r="H156" s="324" t="s">
        <v>884</v>
      </c>
      <c r="I156" s="324" t="s">
        <v>884</v>
      </c>
      <c r="J156" s="324" t="s">
        <v>884</v>
      </c>
      <c r="K156" s="324" t="s">
        <v>884</v>
      </c>
      <c r="L156" s="324" t="s">
        <v>884</v>
      </c>
      <c r="M156" s="324"/>
      <c r="N156" s="324"/>
      <c r="O156" s="324"/>
      <c r="P156" s="324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ht="27.75" customHeight="1">
      <c r="A157" s="321">
        <v>12.0</v>
      </c>
      <c r="B157" s="321" t="s">
        <v>1446</v>
      </c>
      <c r="C157" s="322" t="str">
        <f t="shared" ref="C157:E157" si="143">#REF!</f>
        <v>#REF!</v>
      </c>
      <c r="D157" s="323" t="str">
        <f t="shared" si="143"/>
        <v>#REF!</v>
      </c>
      <c r="E157" s="323" t="str">
        <f t="shared" si="143"/>
        <v>#REF!</v>
      </c>
      <c r="F157" s="324" t="s">
        <v>884</v>
      </c>
      <c r="G157" s="324" t="s">
        <v>884</v>
      </c>
      <c r="H157" s="324" t="s">
        <v>884</v>
      </c>
      <c r="I157" s="324" t="s">
        <v>884</v>
      </c>
      <c r="J157" s="324" t="s">
        <v>884</v>
      </c>
      <c r="K157" s="324" t="s">
        <v>884</v>
      </c>
      <c r="L157" s="324" t="s">
        <v>884</v>
      </c>
      <c r="M157" s="324"/>
      <c r="N157" s="324"/>
      <c r="O157" s="324"/>
      <c r="P157" s="324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ht="27.75" customHeight="1">
      <c r="A158" s="321">
        <v>13.0</v>
      </c>
      <c r="B158" s="321" t="s">
        <v>226</v>
      </c>
      <c r="C158" s="322" t="str">
        <f t="shared" ref="C158:E158" si="144">#REF!</f>
        <v>#REF!</v>
      </c>
      <c r="D158" s="323" t="str">
        <f t="shared" si="144"/>
        <v>#REF!</v>
      </c>
      <c r="E158" s="323" t="str">
        <f t="shared" si="144"/>
        <v>#REF!</v>
      </c>
      <c r="F158" s="324" t="s">
        <v>884</v>
      </c>
      <c r="G158" s="324" t="s">
        <v>884</v>
      </c>
      <c r="H158" s="324" t="s">
        <v>884</v>
      </c>
      <c r="I158" s="324" t="s">
        <v>884</v>
      </c>
      <c r="J158" s="324" t="s">
        <v>884</v>
      </c>
      <c r="K158" s="324" t="s">
        <v>884</v>
      </c>
      <c r="L158" s="324" t="s">
        <v>884</v>
      </c>
      <c r="M158" s="324" t="s">
        <v>1195</v>
      </c>
      <c r="N158" s="324"/>
      <c r="O158" s="324"/>
      <c r="P158" s="324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ht="27.75" customHeight="1">
      <c r="A159" s="321">
        <v>14.0</v>
      </c>
      <c r="B159" s="321" t="s">
        <v>1447</v>
      </c>
      <c r="C159" s="322" t="str">
        <f t="shared" ref="C159:E159" si="145">#REF!</f>
        <v>#REF!</v>
      </c>
      <c r="D159" s="323" t="str">
        <f t="shared" si="145"/>
        <v>#REF!</v>
      </c>
      <c r="E159" s="323" t="str">
        <f t="shared" si="145"/>
        <v>#REF!</v>
      </c>
      <c r="F159" s="324" t="s">
        <v>884</v>
      </c>
      <c r="G159" s="324" t="s">
        <v>884</v>
      </c>
      <c r="H159" s="324" t="s">
        <v>884</v>
      </c>
      <c r="I159" s="324" t="s">
        <v>884</v>
      </c>
      <c r="J159" s="324" t="s">
        <v>884</v>
      </c>
      <c r="K159" s="324" t="s">
        <v>884</v>
      </c>
      <c r="L159" s="324" t="s">
        <v>884</v>
      </c>
      <c r="M159" s="324"/>
      <c r="N159" s="324"/>
      <c r="O159" s="324"/>
      <c r="P159" s="324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ht="27.75" customHeight="1">
      <c r="A160" s="321">
        <v>15.0</v>
      </c>
      <c r="B160" s="321" t="s">
        <v>1007</v>
      </c>
      <c r="C160" s="322" t="str">
        <f t="shared" ref="C160:E160" si="146">#REF!</f>
        <v>#REF!</v>
      </c>
      <c r="D160" s="323" t="str">
        <f t="shared" si="146"/>
        <v>#REF!</v>
      </c>
      <c r="E160" s="323" t="str">
        <f t="shared" si="146"/>
        <v>#REF!</v>
      </c>
      <c r="F160" s="324" t="s">
        <v>884</v>
      </c>
      <c r="G160" s="324" t="s">
        <v>884</v>
      </c>
      <c r="H160" s="324" t="s">
        <v>884</v>
      </c>
      <c r="I160" s="324" t="s">
        <v>884</v>
      </c>
      <c r="J160" s="324" t="s">
        <v>884</v>
      </c>
      <c r="K160" s="324" t="s">
        <v>884</v>
      </c>
      <c r="L160" s="324" t="s">
        <v>884</v>
      </c>
      <c r="M160" s="324"/>
      <c r="N160" s="324"/>
      <c r="O160" s="324"/>
      <c r="P160" s="324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ht="27.75" customHeight="1">
      <c r="A161" s="321">
        <v>16.0</v>
      </c>
      <c r="B161" s="321" t="s">
        <v>939</v>
      </c>
      <c r="C161" s="322" t="str">
        <f t="shared" ref="C161:E161" si="147">#REF!</f>
        <v>#REF!</v>
      </c>
      <c r="D161" s="323" t="str">
        <f t="shared" si="147"/>
        <v>#REF!</v>
      </c>
      <c r="E161" s="323" t="str">
        <f t="shared" si="147"/>
        <v>#REF!</v>
      </c>
      <c r="F161" s="324" t="s">
        <v>884</v>
      </c>
      <c r="G161" s="324" t="s">
        <v>884</v>
      </c>
      <c r="H161" s="324" t="s">
        <v>884</v>
      </c>
      <c r="I161" s="324" t="s">
        <v>884</v>
      </c>
      <c r="J161" s="324" t="s">
        <v>884</v>
      </c>
      <c r="K161" s="324" t="s">
        <v>884</v>
      </c>
      <c r="L161" s="324" t="s">
        <v>884</v>
      </c>
      <c r="M161" s="324"/>
      <c r="N161" s="7"/>
      <c r="O161" s="324" t="s">
        <v>1418</v>
      </c>
      <c r="P161" s="324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ht="27.75" customHeight="1">
      <c r="A162" s="321">
        <v>17.0</v>
      </c>
      <c r="B162" s="321" t="s">
        <v>108</v>
      </c>
      <c r="C162" s="322" t="str">
        <f t="shared" ref="C162:E162" si="148">#REF!</f>
        <v>#REF!</v>
      </c>
      <c r="D162" s="323" t="str">
        <f t="shared" si="148"/>
        <v>#REF!</v>
      </c>
      <c r="E162" s="323" t="str">
        <f t="shared" si="148"/>
        <v>#REF!</v>
      </c>
      <c r="F162" s="324" t="s">
        <v>884</v>
      </c>
      <c r="G162" s="324" t="s">
        <v>884</v>
      </c>
      <c r="H162" s="324" t="s">
        <v>884</v>
      </c>
      <c r="I162" s="324" t="s">
        <v>884</v>
      </c>
      <c r="J162" s="324" t="s">
        <v>884</v>
      </c>
      <c r="K162" s="324" t="s">
        <v>884</v>
      </c>
      <c r="L162" s="324" t="s">
        <v>884</v>
      </c>
      <c r="M162" s="324"/>
      <c r="N162" s="324" t="s">
        <v>920</v>
      </c>
      <c r="O162" s="324" t="s">
        <v>1410</v>
      </c>
      <c r="P162" s="324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ht="27.75" customHeight="1">
      <c r="A163" s="321">
        <v>18.0</v>
      </c>
      <c r="B163" s="321" t="s">
        <v>1448</v>
      </c>
      <c r="C163" s="322" t="str">
        <f t="shared" ref="C163:E163" si="149">#REF!</f>
        <v>#REF!</v>
      </c>
      <c r="D163" s="323" t="str">
        <f t="shared" si="149"/>
        <v>#REF!</v>
      </c>
      <c r="E163" s="323" t="str">
        <f t="shared" si="149"/>
        <v>#REF!</v>
      </c>
      <c r="F163" s="324" t="s">
        <v>884</v>
      </c>
      <c r="G163" s="324" t="s">
        <v>884</v>
      </c>
      <c r="H163" s="324" t="s">
        <v>884</v>
      </c>
      <c r="I163" s="324" t="s">
        <v>884</v>
      </c>
      <c r="J163" s="324" t="s">
        <v>884</v>
      </c>
      <c r="K163" s="324" t="s">
        <v>884</v>
      </c>
      <c r="L163" s="324" t="s">
        <v>884</v>
      </c>
      <c r="M163" s="324"/>
      <c r="N163" s="324"/>
      <c r="O163" s="324" t="s">
        <v>920</v>
      </c>
      <c r="P163" s="324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30:E130"/>
    <mergeCell ref="A145:E145"/>
    <mergeCell ref="A1:M1"/>
    <mergeCell ref="A4:E4"/>
    <mergeCell ref="A11:E11"/>
    <mergeCell ref="A56:E56"/>
    <mergeCell ref="A76:E76"/>
    <mergeCell ref="A92:E92"/>
    <mergeCell ref="A115:E115"/>
  </mergeCells>
  <conditionalFormatting sqref="C5:C10 C12:C53 C57:C74 C77:C90 C93:C113 C116:C128 C131:C143 C146:C163">
    <cfRule type="cellIs" dxfId="0" priority="1" operator="equal">
      <formula>3</formula>
    </cfRule>
  </conditionalFormatting>
  <conditionalFormatting sqref="C75">
    <cfRule type="cellIs" dxfId="0" priority="2" operator="greaterThan">
      <formula>0</formula>
    </cfRule>
  </conditionalFormatting>
  <conditionalFormatting sqref="C91">
    <cfRule type="cellIs" dxfId="2" priority="3" operator="greaterThan">
      <formula>0</formula>
    </cfRule>
  </conditionalFormatting>
  <conditionalFormatting sqref="C129">
    <cfRule type="cellIs" dxfId="1" priority="4" operator="greaterThan">
      <formula>0</formula>
    </cfRule>
  </conditionalFormatting>
  <printOptions/>
  <pageMargins bottom="0.354166666666667" footer="0.0" header="0.0" left="0.315277777777778" right="0.118055555555556" top="0.551388888888889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57"/>
    <col customWidth="1" min="7" max="21" width="8.57"/>
    <col customWidth="1" min="22" max="26" width="8.71"/>
  </cols>
  <sheetData>
    <row r="1" ht="13.5" customHeight="1">
      <c r="A1" s="331" t="str">
        <f>AsigTotalPTC!F3</f>
        <v>Cargo UNSIS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7" t="s">
        <v>1322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7" t="s">
        <v>884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7" t="s">
        <v>1327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7" t="s">
        <v>881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7" t="s">
        <v>1331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7" t="s">
        <v>1333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7" t="s">
        <v>1336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7" t="s">
        <v>1339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7" t="s">
        <v>1342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7" t="s">
        <v>1344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331" t="str">
        <f>AsigTotalPTC!G3</f>
        <v>Comisión o Asignación del Consejo Académico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7" t="s">
        <v>1322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 t="s">
        <v>884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7" t="s">
        <v>1354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7" t="s">
        <v>1356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7" t="s">
        <v>883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7" t="s">
        <v>1155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" t="s">
        <v>942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" t="s">
        <v>918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" t="s">
        <v>1361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" t="s">
        <v>1364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" t="s">
        <v>1366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s">
        <v>1367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s">
        <v>1368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s">
        <v>1369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s">
        <v>1372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s">
        <v>1373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s">
        <v>1375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 t="s">
        <v>1377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331" t="str">
        <f>AsigTotalPTC!H3</f>
        <v>Comisión de Vice-Rectoría Académica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 t="s">
        <v>1322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 t="s">
        <v>884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 t="s">
        <v>1057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 t="s">
        <v>1102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 t="s">
        <v>1306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331" t="str">
        <f>AsigTotalPTC!I3</f>
        <v>Comisión de Jefatura de Carrera/DEP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 t="s">
        <v>1322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 t="s">
        <v>884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 t="s">
        <v>1115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 t="s">
        <v>1345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 t="s">
        <v>1362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 t="s">
        <v>1384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 t="s">
        <v>1011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 t="s">
        <v>1182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331" t="str">
        <f>AsigTotalPTC!J3</f>
        <v>Comisión de Dirección de Instituto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 t="s">
        <v>1322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 t="s">
        <v>884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 t="s">
        <v>933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 t="s">
        <v>1391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331" t="str">
        <f>AsigTotalPTC!K3</f>
        <v>Comisión de Promoción del Desarrollo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 t="s">
        <v>1322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 t="s">
        <v>884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 t="s">
        <v>1392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331" t="str">
        <f>AsigTotalPTC!L3</f>
        <v>Apoyo en Actividades Extra-Escolares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 t="s">
        <v>1322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 t="s">
        <v>884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 t="s">
        <v>1404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 t="s">
        <v>887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 t="s">
        <v>1398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 t="s">
        <v>1385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 t="s">
        <v>1406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29"/>
    <col customWidth="1" min="3" max="3" width="16.14"/>
    <col customWidth="1" min="4" max="26" width="8.57"/>
  </cols>
  <sheetData>
    <row r="1" ht="12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7"/>
      <c r="B2" s="333" t="s">
        <v>1321</v>
      </c>
      <c r="C2" s="279" t="s">
        <v>15</v>
      </c>
      <c r="D2" s="279" t="s">
        <v>46</v>
      </c>
      <c r="E2" s="279" t="s">
        <v>252</v>
      </c>
      <c r="F2" s="279" t="s">
        <v>16</v>
      </c>
      <c r="G2" s="279"/>
      <c r="H2" s="279"/>
      <c r="I2" s="279"/>
      <c r="J2" s="279"/>
      <c r="K2" s="279"/>
      <c r="L2" s="279"/>
      <c r="M2" s="27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7"/>
      <c r="B3" s="334" t="s">
        <v>1323</v>
      </c>
      <c r="C3" s="7">
        <v>4.0</v>
      </c>
      <c r="D3" s="7">
        <v>5.0</v>
      </c>
      <c r="E3" s="7">
        <v>2.0</v>
      </c>
      <c r="F3" s="7">
        <v>2.0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/>
      <c r="B4" s="334" t="s">
        <v>1325</v>
      </c>
      <c r="C4" s="7">
        <v>2.0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/>
      <c r="B5" s="334" t="s">
        <v>1326</v>
      </c>
      <c r="C5" s="7">
        <v>2.0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/>
      <c r="B6" s="334" t="s">
        <v>1329</v>
      </c>
      <c r="C6" s="7">
        <v>1.0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335" t="s">
        <v>1330</v>
      </c>
      <c r="C7" s="7">
        <v>2.0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335" t="s">
        <v>1332</v>
      </c>
      <c r="C8" s="7">
        <v>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334" t="s">
        <v>1334</v>
      </c>
      <c r="C9" s="7">
        <v>4.0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335" t="s">
        <v>1337</v>
      </c>
      <c r="C10" s="7">
        <v>2.0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240" t="s">
        <v>1340</v>
      </c>
      <c r="C11" s="7">
        <v>2.0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240" t="s">
        <v>289</v>
      </c>
      <c r="C12" s="7">
        <v>2.0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240" t="s">
        <v>626</v>
      </c>
      <c r="C13" s="7">
        <v>2.0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24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336" t="s">
        <v>1348</v>
      </c>
      <c r="C15" s="7"/>
      <c r="D15" s="7">
        <v>4.0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336" t="s">
        <v>1351</v>
      </c>
      <c r="C16" s="7"/>
      <c r="D16" s="7">
        <v>4.0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337" t="s">
        <v>1352</v>
      </c>
      <c r="C17" s="7"/>
      <c r="D17" s="7">
        <v>2.0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337" t="s">
        <v>516</v>
      </c>
      <c r="C18" s="7"/>
      <c r="D18" s="7">
        <v>2.0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335" t="s">
        <v>1358</v>
      </c>
      <c r="C19" s="7"/>
      <c r="D19" s="7">
        <v>2.0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337" t="s">
        <v>327</v>
      </c>
      <c r="C20" s="7"/>
      <c r="D20" s="7">
        <v>1.0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7875" right="0.7875" top="0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10" width="9.43"/>
    <col customWidth="1" min="11" max="31" width="8.57"/>
  </cols>
  <sheetData>
    <row r="1" ht="12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2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2.75" customHeight="1">
      <c r="A3" s="344" t="s">
        <v>1426</v>
      </c>
      <c r="B3" s="345" t="s">
        <v>15</v>
      </c>
      <c r="C3" s="345" t="s">
        <v>46</v>
      </c>
      <c r="D3" s="345" t="s">
        <v>252</v>
      </c>
      <c r="E3" s="345" t="s">
        <v>16</v>
      </c>
      <c r="F3" s="345" t="s">
        <v>41</v>
      </c>
      <c r="G3" s="345" t="s">
        <v>687</v>
      </c>
      <c r="H3" s="345" t="s">
        <v>58</v>
      </c>
      <c r="I3" s="345" t="s">
        <v>48</v>
      </c>
      <c r="J3" s="345" t="s">
        <v>56</v>
      </c>
      <c r="K3" s="34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2.75" customHeight="1">
      <c r="A4" s="347" t="s">
        <v>1429</v>
      </c>
      <c r="B4" s="347">
        <v>4.0</v>
      </c>
      <c r="C4" s="347">
        <v>5.0</v>
      </c>
      <c r="D4" s="347">
        <v>2.0</v>
      </c>
      <c r="E4" s="347">
        <v>7.0</v>
      </c>
      <c r="F4" s="347">
        <v>2.0</v>
      </c>
      <c r="G4" s="347">
        <v>1.0</v>
      </c>
      <c r="H4" s="347">
        <v>1.0</v>
      </c>
      <c r="I4" s="347">
        <v>1.0</v>
      </c>
      <c r="J4" s="347">
        <v>2.0</v>
      </c>
      <c r="K4" s="346">
        <f t="shared" ref="K4:K8" si="1">SUM(B4:J4)</f>
        <v>25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2.75" customHeight="1">
      <c r="A5" s="347" t="s">
        <v>1431</v>
      </c>
      <c r="B5" s="347">
        <v>5.0</v>
      </c>
      <c r="C5" s="347">
        <v>3.0</v>
      </c>
      <c r="D5" s="347">
        <v>2.0</v>
      </c>
      <c r="E5" s="347">
        <v>6.0</v>
      </c>
      <c r="F5" s="347">
        <v>1.0</v>
      </c>
      <c r="G5" s="347">
        <v>1.0</v>
      </c>
      <c r="H5" s="347">
        <v>1.0</v>
      </c>
      <c r="I5" s="347">
        <v>1.0</v>
      </c>
      <c r="J5" s="347">
        <v>3.0</v>
      </c>
      <c r="K5" s="346">
        <f t="shared" si="1"/>
        <v>23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2.75" customHeight="1">
      <c r="A6" s="347" t="s">
        <v>1436</v>
      </c>
      <c r="B6" s="347">
        <v>3.0</v>
      </c>
      <c r="C6" s="347">
        <v>2.0</v>
      </c>
      <c r="D6" s="347">
        <v>1.0</v>
      </c>
      <c r="E6" s="347">
        <v>5.0</v>
      </c>
      <c r="F6" s="347">
        <v>1.0</v>
      </c>
      <c r="G6" s="347">
        <v>1.0</v>
      </c>
      <c r="H6" s="347">
        <v>1.0</v>
      </c>
      <c r="I6" s="347">
        <v>1.0</v>
      </c>
      <c r="J6" s="347"/>
      <c r="K6" s="346">
        <f t="shared" si="1"/>
        <v>15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2.75" customHeight="1">
      <c r="A7" s="347" t="s">
        <v>1437</v>
      </c>
      <c r="B7" s="347">
        <v>4.0</v>
      </c>
      <c r="C7" s="347">
        <v>2.0</v>
      </c>
      <c r="D7" s="347">
        <v>1.0</v>
      </c>
      <c r="E7" s="347">
        <v>4.0</v>
      </c>
      <c r="F7" s="347">
        <v>1.0</v>
      </c>
      <c r="G7" s="347">
        <v>1.0</v>
      </c>
      <c r="H7" s="347">
        <v>1.0</v>
      </c>
      <c r="I7" s="347">
        <v>1.0</v>
      </c>
      <c r="J7" s="347"/>
      <c r="K7" s="346">
        <f t="shared" si="1"/>
        <v>15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2.75" customHeight="1">
      <c r="A8" s="347" t="s">
        <v>1438</v>
      </c>
      <c r="B8" s="347"/>
      <c r="C8" s="347">
        <v>1.0</v>
      </c>
      <c r="D8" s="347">
        <v>1.0</v>
      </c>
      <c r="E8" s="347">
        <v>4.0</v>
      </c>
      <c r="F8" s="347">
        <v>1.0</v>
      </c>
      <c r="G8" s="347">
        <v>1.0</v>
      </c>
      <c r="H8" s="347">
        <v>1.0</v>
      </c>
      <c r="I8" s="347">
        <v>1.0</v>
      </c>
      <c r="J8" s="347"/>
      <c r="K8" s="346">
        <f t="shared" si="1"/>
        <v>10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2.75" customHeight="1">
      <c r="A9" s="348"/>
      <c r="B9" s="347">
        <f t="shared" ref="B9:J9" si="2">SUM(B4:B8)</f>
        <v>16</v>
      </c>
      <c r="C9" s="347">
        <f t="shared" si="2"/>
        <v>13</v>
      </c>
      <c r="D9" s="347">
        <f t="shared" si="2"/>
        <v>7</v>
      </c>
      <c r="E9" s="347">
        <f t="shared" si="2"/>
        <v>26</v>
      </c>
      <c r="F9" s="347">
        <f t="shared" si="2"/>
        <v>6</v>
      </c>
      <c r="G9" s="347">
        <f t="shared" si="2"/>
        <v>5</v>
      </c>
      <c r="H9" s="347">
        <f t="shared" si="2"/>
        <v>5</v>
      </c>
      <c r="I9" s="347">
        <f t="shared" si="2"/>
        <v>5</v>
      </c>
      <c r="J9" s="347">
        <f t="shared" si="2"/>
        <v>5</v>
      </c>
      <c r="K9" s="34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2.75" customHeight="1">
      <c r="A10" s="27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2.75" customHeight="1">
      <c r="A11" s="27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2.75" customHeight="1">
      <c r="A12" s="349" t="s">
        <v>445</v>
      </c>
      <c r="B12" s="350"/>
      <c r="C12" s="350"/>
      <c r="D12" s="350"/>
      <c r="E12" s="350"/>
      <c r="F12" s="350"/>
      <c r="G12" s="350"/>
      <c r="H12" s="350"/>
      <c r="I12" s="350"/>
      <c r="J12" s="350"/>
      <c r="K12" s="351">
        <f>SUM(K4:K8)</f>
        <v>88</v>
      </c>
      <c r="L12" s="350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  <c r="AA12" s="350"/>
      <c r="AB12" s="350"/>
      <c r="AC12" s="350"/>
      <c r="AD12" s="350"/>
      <c r="AE12" s="350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7875" right="0.7875" top="0.0"/>
  <pageSetup paperSize="9" orientation="portrait"/>
  <drawing r:id="rId1"/>
</worksheet>
</file>